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cutive_KPIs" sheetId="2" state="visible" r:id="rId4"/>
    <sheet name="Assumptions" sheetId="3" state="visible" r:id="rId5"/>
    <sheet name="Field_Monthly" sheetId="4" state="visible" r:id="rId6"/>
    <sheet name="Field_Summary" sheetId="5" state="visible" r:id="rId7"/>
    <sheet name="Equipment" sheetId="6" state="visible" r:id="rId8"/>
    <sheet name="Volve_Real" sheetId="7" state="visible" r:id="rId9"/>
    <sheet name="BSEE_Re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<sst xmlns="http://schemas.openxmlformats.org/spreadsheetml/2006/main" count="468" uniqueCount="177">
  <si>
    <t xml:space="preserve">OG-OIP Excel workbook</t>
  </si>
  <si>
    <t xml:space="preserve">All operational, production, financial, maintenance, inventory, sensor and HSE data in this project are synthetic/simulated and created for portfolio demonstration purposes. They do not represent actual operations of a real company.</t>
  </si>
  <si>
    <t xml:space="preserve">Sheets: Assumptions (inputs, blue), Field_Monthly (synthetic data from mart_field_monthly), Field_Summary (SUMIFS formulas),</t>
  </si>
  <si>
    <t xml:space="preserve">Equipment (synthetic; availability/MTBF/MTTR are formulas), Executive_KPIs (formulas), Volve_Real and BSEE_Real (REAL user-supplied data, separate from PetroNexa).</t>
  </si>
  <si>
    <t xml:space="preserve">Real-data sheets are not linked to the synthetic sheets. Blue font = editable assumption; black = formula or data.</t>
  </si>
  <si>
    <t xml:space="preserve">Regenerate with scripts/build_excel.py after re-running the pipeline.</t>
  </si>
  <si>
    <t xml:space="preserve">Executive KPIs - SYNTHETIC PetroNexa Energy data (formulas)</t>
  </si>
  <si>
    <t xml:space="preserve">Total oil produced (bbl)</t>
  </si>
  <si>
    <t xml:space="preserve">Production loss vs simulated potential (%)</t>
  </si>
  <si>
    <t xml:space="preserve">Revenue (USD, synthetic)</t>
  </si>
  <si>
    <t xml:space="preserve">Operating cost (USD, synthetic)</t>
  </si>
  <si>
    <t xml:space="preserve">Operating margin (USD, synthetic)</t>
  </si>
  <si>
    <t xml:space="preserve">Estimated lost revenue (USD)</t>
  </si>
  <si>
    <t xml:space="preserve">Failures (corrective events)</t>
  </si>
  <si>
    <t xml:space="preserve">Fleet MTBF (hours)</t>
  </si>
  <si>
    <t xml:space="preserve">Fleet MTTR (hours)</t>
  </si>
  <si>
    <t xml:space="preserve">Fleet availability (%)</t>
  </si>
  <si>
    <t xml:space="preserve">Total maintenance cost (USD)</t>
  </si>
  <si>
    <t xml:space="preserve">Assumption</t>
  </si>
  <si>
    <t xml:space="preserve">Value</t>
  </si>
  <si>
    <t xml:space="preserve">Source / note</t>
  </si>
  <si>
    <t xml:space="preserve">Barrels per Sm3 (Volve conversion)</t>
  </si>
  <si>
    <t xml:space="preserve">Unit conversion constant used in the pipeline (config.py)</t>
  </si>
  <si>
    <t xml:space="preserve">Mcf per BOE</t>
  </si>
  <si>
    <t xml:space="preserve">Industry convention 6 mcf = 1 BOE</t>
  </si>
  <si>
    <t xml:space="preserve">Exposure hours per producing well-day</t>
  </si>
  <si>
    <t xml:space="preserve">Synthetic assumption for HSE rates</t>
  </si>
  <si>
    <t xml:space="preserve">Incident-rate base hours</t>
  </si>
  <si>
    <t xml:space="preserve">Per 200,000 hours convention</t>
  </si>
  <si>
    <t xml:space="preserve">field_id</t>
  </si>
  <si>
    <t xml:space="preserve">month</t>
  </si>
  <si>
    <t xml:space="preserve">oil_bbl</t>
  </si>
  <si>
    <t xml:space="preserve">gas_mcf</t>
  </si>
  <si>
    <t xml:space="preserve">potential_bbl</t>
  </si>
  <si>
    <t xml:space="preserve">loss_bbl</t>
  </si>
  <si>
    <t xml:space="preserve">oil_sold_bbl</t>
  </si>
  <si>
    <t xml:space="preserve">gas_sold_mcf</t>
  </si>
  <si>
    <t xml:space="preserve">revenue_usd</t>
  </si>
  <si>
    <t xml:space="preserve">opex_total_usd</t>
  </si>
  <si>
    <t xml:space="preserve">cost_maintenance_usd</t>
  </si>
  <si>
    <t xml:space="preserve">lost_revenue_usd</t>
  </si>
  <si>
    <t xml:space="preserve">FIELD-001</t>
  </si>
  <si>
    <t xml:space="preserve">FIELD-002</t>
  </si>
  <si>
    <t xml:space="preserve">FIELD-003</t>
  </si>
  <si>
    <t xml:space="preserve">FIELD-004</t>
  </si>
  <si>
    <t xml:space="preserve">loss_pct</t>
  </si>
  <si>
    <t xml:space="preserve">opex_usd</t>
  </si>
  <si>
    <t xml:space="preserve">cost_per_bbl_oil_sold</t>
  </si>
  <si>
    <t xml:space="preserve">cost_per_boe</t>
  </si>
  <si>
    <t xml:space="preserve">operating_margin_usd</t>
  </si>
  <si>
    <t xml:space="preserve">TOTAL</t>
  </si>
  <si>
    <t xml:space="preserve">equipment_id</t>
  </si>
  <si>
    <t xml:space="preserve">equipment_name</t>
  </si>
  <si>
    <t xml:space="preserve">equipment_type</t>
  </si>
  <si>
    <t xml:space="preserve">criticality</t>
  </si>
  <si>
    <t xml:space="preserve">failures</t>
  </si>
  <si>
    <t xml:space="preserve">total_downtime_hours</t>
  </si>
  <si>
    <t xml:space="preserve">corrective_downtime_hours</t>
  </si>
  <si>
    <t xml:space="preserve">period_hours</t>
  </si>
  <si>
    <t xml:space="preserve">maintenance_cost_usd</t>
  </si>
  <si>
    <t xml:space="preserve">availability_pct</t>
  </si>
  <si>
    <t xml:space="preserve">mtbf_hours</t>
  </si>
  <si>
    <t xml:space="preserve">mttr_hours</t>
  </si>
  <si>
    <t xml:space="preserve">EQ-0001</t>
  </si>
  <si>
    <t xml:space="preserve">Pump 001-01</t>
  </si>
  <si>
    <t xml:space="preserve">Pump</t>
  </si>
  <si>
    <t xml:space="preserve">Medium</t>
  </si>
  <si>
    <t xml:space="preserve">EQ-0002</t>
  </si>
  <si>
    <t xml:space="preserve">Pump 001-02</t>
  </si>
  <si>
    <t xml:space="preserve">EQ-0003</t>
  </si>
  <si>
    <t xml:space="preserve">Pump 001-03</t>
  </si>
  <si>
    <t xml:space="preserve">EQ-0004</t>
  </si>
  <si>
    <t xml:space="preserve">Pump 001-04</t>
  </si>
  <si>
    <t xml:space="preserve">EQ-0005</t>
  </si>
  <si>
    <t xml:space="preserve">Compressor 001-05</t>
  </si>
  <si>
    <t xml:space="preserve">Compressor</t>
  </si>
  <si>
    <t xml:space="preserve">High</t>
  </si>
  <si>
    <t xml:space="preserve">EQ-0006</t>
  </si>
  <si>
    <t xml:space="preserve">Compressor 001-06</t>
  </si>
  <si>
    <t xml:space="preserve">EQ-0007</t>
  </si>
  <si>
    <t xml:space="preserve">Separator 001-07</t>
  </si>
  <si>
    <t xml:space="preserve">Separator</t>
  </si>
  <si>
    <t xml:space="preserve">EQ-0008</t>
  </si>
  <si>
    <t xml:space="preserve">Separator 001-08</t>
  </si>
  <si>
    <t xml:space="preserve">EQ-0009</t>
  </si>
  <si>
    <t xml:space="preserve">Generator 001-09</t>
  </si>
  <si>
    <t xml:space="preserve">Generator</t>
  </si>
  <si>
    <t xml:space="preserve">EQ-0010</t>
  </si>
  <si>
    <t xml:space="preserve">Valve 001-10</t>
  </si>
  <si>
    <t xml:space="preserve">Valve</t>
  </si>
  <si>
    <t xml:space="preserve">Low</t>
  </si>
  <si>
    <t xml:space="preserve">EQ-0011</t>
  </si>
  <si>
    <t xml:space="preserve">Heat Exchanger 001-11</t>
  </si>
  <si>
    <t xml:space="preserve">Heat Exchanger</t>
  </si>
  <si>
    <t xml:space="preserve">EQ-0012</t>
  </si>
  <si>
    <t xml:space="preserve">Pipeline Equipment 001-12</t>
  </si>
  <si>
    <t xml:space="preserve">Pipeline Equipment</t>
  </si>
  <si>
    <t xml:space="preserve">EQ-0013</t>
  </si>
  <si>
    <t xml:space="preserve">Pump 002-01</t>
  </si>
  <si>
    <t xml:space="preserve">EQ-0014</t>
  </si>
  <si>
    <t xml:space="preserve">Pump 002-02</t>
  </si>
  <si>
    <t xml:space="preserve">EQ-0015</t>
  </si>
  <si>
    <t xml:space="preserve">Pump 002-03</t>
  </si>
  <si>
    <t xml:space="preserve">EQ-0016</t>
  </si>
  <si>
    <t xml:space="preserve">Pump 002-04</t>
  </si>
  <si>
    <t xml:space="preserve">EQ-0017</t>
  </si>
  <si>
    <t xml:space="preserve">Compressor 002-05</t>
  </si>
  <si>
    <t xml:space="preserve">EQ-0018</t>
  </si>
  <si>
    <t xml:space="preserve">Compressor 002-06</t>
  </si>
  <si>
    <t xml:space="preserve">EQ-0019</t>
  </si>
  <si>
    <t xml:space="preserve">Separator 002-07</t>
  </si>
  <si>
    <t xml:space="preserve">EQ-0020</t>
  </si>
  <si>
    <t xml:space="preserve">Separator 002-08</t>
  </si>
  <si>
    <t xml:space="preserve">EQ-0021</t>
  </si>
  <si>
    <t xml:space="preserve">Generator 002-09</t>
  </si>
  <si>
    <t xml:space="preserve">EQ-0022</t>
  </si>
  <si>
    <t xml:space="preserve">Valve 002-10</t>
  </si>
  <si>
    <t xml:space="preserve">EQ-0023</t>
  </si>
  <si>
    <t xml:space="preserve">Heat Exchanger 002-11</t>
  </si>
  <si>
    <t xml:space="preserve">EQ-0024</t>
  </si>
  <si>
    <t xml:space="preserve">Pipeline Equipment 002-12</t>
  </si>
  <si>
    <t xml:space="preserve">EQ-0025</t>
  </si>
  <si>
    <t xml:space="preserve">Pump 003-01</t>
  </si>
  <si>
    <t xml:space="preserve">EQ-0026</t>
  </si>
  <si>
    <t xml:space="preserve">Pump 003-02</t>
  </si>
  <si>
    <t xml:space="preserve">EQ-0027</t>
  </si>
  <si>
    <t xml:space="preserve">Pump 003-03</t>
  </si>
  <si>
    <t xml:space="preserve">EQ-0028</t>
  </si>
  <si>
    <t xml:space="preserve">Pump 003-04</t>
  </si>
  <si>
    <t xml:space="preserve">EQ-0029</t>
  </si>
  <si>
    <t xml:space="preserve">Compressor 003-05</t>
  </si>
  <si>
    <t xml:space="preserve">EQ-0030</t>
  </si>
  <si>
    <t xml:space="preserve">Compressor 003-06</t>
  </si>
  <si>
    <t xml:space="preserve">EQ-0031</t>
  </si>
  <si>
    <t xml:space="preserve">Separator 003-07</t>
  </si>
  <si>
    <t xml:space="preserve">EQ-0032</t>
  </si>
  <si>
    <t xml:space="preserve">Separator 003-08</t>
  </si>
  <si>
    <t xml:space="preserve">EQ-0033</t>
  </si>
  <si>
    <t xml:space="preserve">Generator 003-09</t>
  </si>
  <si>
    <t xml:space="preserve">EQ-0034</t>
  </si>
  <si>
    <t xml:space="preserve">Valve 003-10</t>
  </si>
  <si>
    <t xml:space="preserve">EQ-0035</t>
  </si>
  <si>
    <t xml:space="preserve">Heat Exchanger 003-11</t>
  </si>
  <si>
    <t xml:space="preserve">EQ-0036</t>
  </si>
  <si>
    <t xml:space="preserve">Pipeline Equipment 003-12</t>
  </si>
  <si>
    <t xml:space="preserve">EQ-0037</t>
  </si>
  <si>
    <t xml:space="preserve">Pump 004-01</t>
  </si>
  <si>
    <t xml:space="preserve">EQ-0038</t>
  </si>
  <si>
    <t xml:space="preserve">Pump 004-02</t>
  </si>
  <si>
    <t xml:space="preserve">EQ-0039</t>
  </si>
  <si>
    <t xml:space="preserve">Pump 004-03</t>
  </si>
  <si>
    <t xml:space="preserve">EQ-0040</t>
  </si>
  <si>
    <t xml:space="preserve">Pump 004-04</t>
  </si>
  <si>
    <t xml:space="preserve">EQ-0041</t>
  </si>
  <si>
    <t xml:space="preserve">Compressor 004-05</t>
  </si>
  <si>
    <t xml:space="preserve">EQ-0042</t>
  </si>
  <si>
    <t xml:space="preserve">Compressor 004-06</t>
  </si>
  <si>
    <t xml:space="preserve">EQ-0043</t>
  </si>
  <si>
    <t xml:space="preserve">Separator 004-07</t>
  </si>
  <si>
    <t xml:space="preserve">EQ-0044</t>
  </si>
  <si>
    <t xml:space="preserve">Separator 004-08</t>
  </si>
  <si>
    <t xml:space="preserve">EQ-0045</t>
  </si>
  <si>
    <t xml:space="preserve">Generator 004-09</t>
  </si>
  <si>
    <t xml:space="preserve">EQ-0046</t>
  </si>
  <si>
    <t xml:space="preserve">Valve 004-10</t>
  </si>
  <si>
    <t xml:space="preserve">EQ-0047</t>
  </si>
  <si>
    <t xml:space="preserve">Heat Exchanger 004-11</t>
  </si>
  <si>
    <t xml:space="preserve">EQ-0048</t>
  </si>
  <si>
    <t xml:space="preserve">Pipeline Equipment 004-12</t>
  </si>
  <si>
    <t xml:space="preserve">REAL data: Volve (user-supplied). Not PetroNexa. Yearly totals converted from Sm3.</t>
  </si>
  <si>
    <t xml:space="preserve">year</t>
  </si>
  <si>
    <t xml:space="preserve">water_bbl</t>
  </si>
  <si>
    <t xml:space="preserve">water_cut_pct</t>
  </si>
  <si>
    <t xml:space="preserve">REAL data: BSEE OGOR-A monthly totals (user-supplied; column meaning per author's understanding - verify with BSEE dictionary). Not PetroNexa.</t>
  </si>
  <si>
    <t xml:space="preserve">operators</t>
  </si>
  <si>
    <t xml:space="preserve">water_to_oil_ratio</t>
  </si>
  <si>
    <t xml:space="preserve">gas_to_oil_mcf_per_bbl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</si>
</sst>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yyyy\-mm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3" t="s">
        <v>6</v>
      </c>
    </row>
    <row r="3" customFormat="false" ht="15" hidden="false" customHeight="false" outlineLevel="0" collapsed="false">
      <c r="A3" s="4" t="s">
        <v>7</v>
      </c>
      <c r="B3" s="5" t="n">
        <f aca="false">Field_Summary!B6</f>
        <v>13352299.0585673</v>
      </c>
    </row>
    <row r="4" customFormat="false" ht="15" hidden="false" customHeight="false" outlineLevel="0" collapsed="false">
      <c r="A4" s="4" t="s">
        <v>8</v>
      </c>
      <c r="B4" s="6" t="n">
        <f aca="false">Field_Summary!E6</f>
        <v>0.093925673937755</v>
      </c>
    </row>
    <row r="5" customFormat="false" ht="15" hidden="false" customHeight="false" outlineLevel="0" collapsed="false">
      <c r="A5" s="4" t="s">
        <v>9</v>
      </c>
      <c r="B5" s="5" t="n">
        <f aca="false">Field_Summary!F6</f>
        <v>956148995.57</v>
      </c>
    </row>
    <row r="6" customFormat="false" ht="15" hidden="false" customHeight="false" outlineLevel="0" collapsed="false">
      <c r="A6" s="4" t="s">
        <v>10</v>
      </c>
      <c r="B6" s="5" t="n">
        <f aca="false">Field_Summary!G6</f>
        <v>314236614.49</v>
      </c>
    </row>
    <row r="7" customFormat="false" ht="15" hidden="false" customHeight="false" outlineLevel="0" collapsed="false">
      <c r="A7" s="4" t="s">
        <v>11</v>
      </c>
      <c r="B7" s="5" t="n">
        <f aca="false">Field_Summary!J6</f>
        <v>641912381.08</v>
      </c>
    </row>
    <row r="8" customFormat="false" ht="15" hidden="false" customHeight="false" outlineLevel="0" collapsed="false">
      <c r="A8" s="4" t="s">
        <v>12</v>
      </c>
      <c r="B8" s="5" t="n">
        <f aca="false">Field_Summary!K6</f>
        <v>95544789.7550516</v>
      </c>
    </row>
    <row r="9" customFormat="false" ht="15" hidden="false" customHeight="false" outlineLevel="0" collapsed="false">
      <c r="A9" s="4" t="s">
        <v>13</v>
      </c>
      <c r="B9" s="5" t="n">
        <f aca="false">SUM(Equipment!F2:F49)</f>
        <v>412</v>
      </c>
    </row>
    <row r="10" customFormat="false" ht="15" hidden="false" customHeight="false" outlineLevel="0" collapsed="false">
      <c r="A10" s="4" t="s">
        <v>14</v>
      </c>
      <c r="B10" s="5" t="n">
        <f aca="false">(SUM(Equipment!I2:I49)-SUM(Equipment!G2:G49))/SUM(Equipment!F2:F49)</f>
        <v>3029.83747572816</v>
      </c>
    </row>
    <row r="11" customFormat="false" ht="15" hidden="false" customHeight="false" outlineLevel="0" collapsed="false">
      <c r="A11" s="4" t="s">
        <v>15</v>
      </c>
      <c r="B11" s="7" t="n">
        <f aca="false">SUM(Equipment!H2:H49)/SUM(Equipment!F2:F49)</f>
        <v>25.2933737864078</v>
      </c>
    </row>
    <row r="12" customFormat="false" ht="15" hidden="false" customHeight="false" outlineLevel="0" collapsed="false">
      <c r="A12" s="4" t="s">
        <v>16</v>
      </c>
      <c r="B12" s="8" t="n">
        <f aca="false">100*(SUM(Equipment!I2:I49)-SUM(Equipment!G2:G49))/SUM(Equipment!I2:I49)</f>
        <v>98.867491636253</v>
      </c>
    </row>
    <row r="13" customFormat="false" ht="15" hidden="false" customHeight="false" outlineLevel="0" collapsed="false">
      <c r="A13" s="4" t="s">
        <v>17</v>
      </c>
      <c r="B13" s="5" t="n">
        <f aca="false">SUM(Equipment!J2:J49)</f>
        <v>9680323.96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9" t="s">
        <v>18</v>
      </c>
      <c r="B1" s="9" t="s">
        <v>19</v>
      </c>
      <c r="C1" s="9" t="s">
        <v>20</v>
      </c>
    </row>
    <row r="2" customFormat="false" ht="15" hidden="false" customHeight="false" outlineLevel="0" collapsed="false">
      <c r="A2" s="4" t="s">
        <v>21</v>
      </c>
      <c r="B2" s="10" t="n">
        <v>6.28981</v>
      </c>
      <c r="C2" s="4" t="s">
        <v>22</v>
      </c>
    </row>
    <row r="3" customFormat="false" ht="15" hidden="false" customHeight="false" outlineLevel="0" collapsed="false">
      <c r="A3" s="4" t="s">
        <v>23</v>
      </c>
      <c r="B3" s="10" t="n">
        <v>6</v>
      </c>
      <c r="C3" s="4" t="s">
        <v>24</v>
      </c>
    </row>
    <row r="4" customFormat="false" ht="15" hidden="false" customHeight="false" outlineLevel="0" collapsed="false">
      <c r="A4" s="4" t="s">
        <v>25</v>
      </c>
      <c r="B4" s="10" t="n">
        <v>30</v>
      </c>
      <c r="C4" s="4" t="s">
        <v>26</v>
      </c>
    </row>
    <row r="5" customFormat="false" ht="15" hidden="false" customHeight="false" outlineLevel="0" collapsed="false">
      <c r="A5" s="4" t="s">
        <v>27</v>
      </c>
      <c r="B5" s="10" t="n">
        <v>200000</v>
      </c>
      <c r="C5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26.85" hidden="false" customHeight="false" outlineLevel="0" collapsed="false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</row>
    <row r="2" customFormat="false" ht="15" hidden="false" customHeight="false" outlineLevel="0" collapsed="false">
      <c r="A2" s="4" t="s">
        <v>41</v>
      </c>
      <c r="B2" s="11" t="n">
        <v>44562</v>
      </c>
      <c r="C2" s="5" t="n">
        <v>133148.9</v>
      </c>
      <c r="D2" s="4" t="n">
        <v>121539.4</v>
      </c>
      <c r="E2" s="4" t="n">
        <v>142729.8</v>
      </c>
      <c r="F2" s="4" t="n">
        <v>9580.9</v>
      </c>
      <c r="G2" s="4" t="n">
        <v>131107.7</v>
      </c>
      <c r="H2" s="4" t="n">
        <v>111988.1</v>
      </c>
      <c r="I2" s="5" t="n">
        <v>8985693.87</v>
      </c>
      <c r="J2" s="5" t="n">
        <v>2629898.36</v>
      </c>
      <c r="K2" s="4" t="n">
        <v>39147.51</v>
      </c>
      <c r="L2" s="4" t="n">
        <v>632277.679</v>
      </c>
    </row>
    <row r="3" customFormat="false" ht="15" hidden="false" customHeight="false" outlineLevel="0" collapsed="false">
      <c r="A3" s="4" t="s">
        <v>41</v>
      </c>
      <c r="B3" s="11" t="n">
        <v>44593</v>
      </c>
      <c r="C3" s="5" t="n">
        <v>118887.1832917</v>
      </c>
      <c r="D3" s="4" t="n">
        <v>108681.6</v>
      </c>
      <c r="E3" s="4" t="n">
        <v>127976.4</v>
      </c>
      <c r="F3" s="4" t="n">
        <v>9089.2167083</v>
      </c>
      <c r="G3" s="4" t="n">
        <v>117096.1</v>
      </c>
      <c r="H3" s="4" t="n">
        <v>99925.9</v>
      </c>
      <c r="I3" s="5" t="n">
        <v>7878742.98</v>
      </c>
      <c r="J3" s="5" t="n">
        <v>2393131.02</v>
      </c>
      <c r="K3" s="4" t="n">
        <v>70620.67</v>
      </c>
      <c r="L3" s="4" t="n">
        <v>581118.012984544</v>
      </c>
    </row>
    <row r="4" customFormat="false" ht="15" hidden="false" customHeight="false" outlineLevel="0" collapsed="false">
      <c r="A4" s="4" t="s">
        <v>41</v>
      </c>
      <c r="B4" s="11" t="n">
        <v>44621</v>
      </c>
      <c r="C4" s="5" t="n">
        <v>120971.3289878</v>
      </c>
      <c r="D4" s="4" t="n">
        <v>111278.6</v>
      </c>
      <c r="E4" s="4" t="n">
        <v>139464.2</v>
      </c>
      <c r="F4" s="4" t="n">
        <v>18492.8710122</v>
      </c>
      <c r="G4" s="4" t="n">
        <v>119129.5</v>
      </c>
      <c r="H4" s="4" t="n">
        <v>102540.4</v>
      </c>
      <c r="I4" s="5" t="n">
        <v>8207585.44</v>
      </c>
      <c r="J4" s="5" t="n">
        <v>2579908.43</v>
      </c>
      <c r="K4" s="4" t="n">
        <v>93298.84</v>
      </c>
      <c r="L4" s="4" t="n">
        <v>1208181.3495874</v>
      </c>
    </row>
    <row r="5" customFormat="false" ht="15" hidden="false" customHeight="false" outlineLevel="0" collapsed="false">
      <c r="A5" s="4" t="s">
        <v>41</v>
      </c>
      <c r="B5" s="11" t="n">
        <v>44652</v>
      </c>
      <c r="C5" s="5" t="n">
        <v>125147.237028</v>
      </c>
      <c r="D5" s="4" t="n">
        <v>116911.8</v>
      </c>
      <c r="E5" s="4" t="n">
        <v>132618.9</v>
      </c>
      <c r="F5" s="4" t="n">
        <v>7471.662972</v>
      </c>
      <c r="G5" s="4" t="n">
        <v>123410</v>
      </c>
      <c r="H5" s="4" t="n">
        <v>107446.8</v>
      </c>
      <c r="I5" s="5" t="n">
        <v>9566776.39</v>
      </c>
      <c r="J5" s="5" t="n">
        <v>2481889.42</v>
      </c>
      <c r="K5" s="4" t="n">
        <v>5647.73</v>
      </c>
      <c r="L5" s="4" t="n">
        <v>554511.344175434</v>
      </c>
    </row>
    <row r="6" customFormat="false" ht="15" hidden="false" customHeight="false" outlineLevel="0" collapsed="false">
      <c r="A6" s="4" t="s">
        <v>41</v>
      </c>
      <c r="B6" s="11" t="n">
        <v>44682</v>
      </c>
      <c r="C6" s="5" t="n">
        <v>123640.6924213</v>
      </c>
      <c r="D6" s="4" t="n">
        <v>115549.8</v>
      </c>
      <c r="E6" s="4" t="n">
        <v>135013.6</v>
      </c>
      <c r="F6" s="4" t="n">
        <v>11372.9075787</v>
      </c>
      <c r="G6" s="4" t="n">
        <v>121805.2</v>
      </c>
      <c r="H6" s="4" t="n">
        <v>106299.7</v>
      </c>
      <c r="I6" s="5" t="n">
        <v>10047158.25</v>
      </c>
      <c r="J6" s="5" t="n">
        <v>2574696.62</v>
      </c>
      <c r="K6" s="4" t="n">
        <v>69121.76</v>
      </c>
      <c r="L6" s="4" t="n">
        <v>913898.296983174</v>
      </c>
    </row>
    <row r="7" customFormat="false" ht="15" hidden="false" customHeight="false" outlineLevel="0" collapsed="false">
      <c r="A7" s="4" t="s">
        <v>41</v>
      </c>
      <c r="B7" s="11" t="n">
        <v>44713</v>
      </c>
      <c r="C7" s="5" t="n">
        <v>117344.6091151</v>
      </c>
      <c r="D7" s="4" t="n">
        <v>109830.3</v>
      </c>
      <c r="E7" s="4" t="n">
        <v>128373</v>
      </c>
      <c r="F7" s="4" t="n">
        <v>11028.3908849</v>
      </c>
      <c r="G7" s="4" t="n">
        <v>115941</v>
      </c>
      <c r="H7" s="4" t="n">
        <v>101319.8</v>
      </c>
      <c r="I7" s="5" t="n">
        <v>8796475.01</v>
      </c>
      <c r="J7" s="5" t="n">
        <v>2523904.66</v>
      </c>
      <c r="K7" s="4" t="n">
        <v>94981.87</v>
      </c>
      <c r="L7" s="4" t="n">
        <v>805325.434884495</v>
      </c>
    </row>
    <row r="8" customFormat="false" ht="15" hidden="false" customHeight="false" outlineLevel="0" collapsed="false">
      <c r="A8" s="4" t="s">
        <v>41</v>
      </c>
      <c r="B8" s="11" t="n">
        <v>44743</v>
      </c>
      <c r="C8" s="5" t="n">
        <v>135711.8315107</v>
      </c>
      <c r="D8" s="4" t="n">
        <v>134234.9</v>
      </c>
      <c r="E8" s="4" t="n">
        <v>143836.1</v>
      </c>
      <c r="F8" s="4" t="n">
        <v>8124.2684893</v>
      </c>
      <c r="G8" s="4" t="n">
        <v>133679.3</v>
      </c>
      <c r="H8" s="4" t="n">
        <v>123596.3</v>
      </c>
      <c r="I8" s="5" t="n">
        <v>11420739.19</v>
      </c>
      <c r="J8" s="5" t="n">
        <v>2674897.06</v>
      </c>
      <c r="K8" s="4" t="n">
        <v>12866.79</v>
      </c>
      <c r="L8" s="4" t="n">
        <v>665659.381300685</v>
      </c>
    </row>
    <row r="9" customFormat="false" ht="15" hidden="false" customHeight="false" outlineLevel="0" collapsed="false">
      <c r="A9" s="4" t="s">
        <v>41</v>
      </c>
      <c r="B9" s="11" t="n">
        <v>44774</v>
      </c>
      <c r="C9" s="5" t="n">
        <v>135037.6</v>
      </c>
      <c r="D9" s="4" t="n">
        <v>134839.8</v>
      </c>
      <c r="E9" s="4" t="n">
        <v>144842.7</v>
      </c>
      <c r="F9" s="4" t="n">
        <v>9805.1</v>
      </c>
      <c r="G9" s="4" t="n">
        <v>133028.5</v>
      </c>
      <c r="H9" s="4" t="n">
        <v>124086</v>
      </c>
      <c r="I9" s="5" t="n">
        <v>10399912.83</v>
      </c>
      <c r="J9" s="5" t="n">
        <v>2682120.34</v>
      </c>
      <c r="K9" s="4" t="n">
        <v>32653.25</v>
      </c>
      <c r="L9" s="4" t="n">
        <v>731914.704</v>
      </c>
    </row>
    <row r="10" customFormat="false" ht="15" hidden="false" customHeight="false" outlineLevel="0" collapsed="false">
      <c r="A10" s="4" t="s">
        <v>41</v>
      </c>
      <c r="B10" s="11" t="n">
        <v>44805</v>
      </c>
      <c r="C10" s="5" t="n">
        <v>127490.7743942</v>
      </c>
      <c r="D10" s="4" t="n">
        <v>127658.6</v>
      </c>
      <c r="E10" s="4" t="n">
        <v>136974.2</v>
      </c>
      <c r="F10" s="4" t="n">
        <v>9483.4256058</v>
      </c>
      <c r="G10" s="4" t="n">
        <v>125668.4</v>
      </c>
      <c r="H10" s="4" t="n">
        <v>117579.4</v>
      </c>
      <c r="I10" s="5" t="n">
        <v>9283548.92</v>
      </c>
      <c r="J10" s="5" t="n">
        <v>2564043.56</v>
      </c>
      <c r="K10" s="4" t="n">
        <v>21606.91</v>
      </c>
      <c r="L10" s="4" t="n">
        <v>665375.683576702</v>
      </c>
    </row>
    <row r="11" customFormat="false" ht="15" hidden="false" customHeight="false" outlineLevel="0" collapsed="false">
      <c r="A11" s="4" t="s">
        <v>41</v>
      </c>
      <c r="B11" s="11" t="n">
        <v>44835</v>
      </c>
      <c r="C11" s="5" t="n">
        <v>126319.0043685</v>
      </c>
      <c r="D11" s="4" t="n">
        <v>125535.2</v>
      </c>
      <c r="E11" s="4" t="n">
        <v>138481.6</v>
      </c>
      <c r="F11" s="4" t="n">
        <v>12162.5956315</v>
      </c>
      <c r="G11" s="4" t="n">
        <v>124577.7</v>
      </c>
      <c r="H11" s="4" t="n">
        <v>115631.2</v>
      </c>
      <c r="I11" s="5" t="n">
        <v>8875767.47</v>
      </c>
      <c r="J11" s="5" t="n">
        <v>2627642.22</v>
      </c>
      <c r="K11" s="4" t="n">
        <v>62116.07</v>
      </c>
      <c r="L11" s="4" t="n">
        <v>826302.392541373</v>
      </c>
    </row>
    <row r="12" customFormat="false" ht="15" hidden="false" customHeight="false" outlineLevel="0" collapsed="false">
      <c r="A12" s="4" t="s">
        <v>41</v>
      </c>
      <c r="B12" s="11" t="n">
        <v>44866</v>
      </c>
      <c r="C12" s="5" t="n">
        <v>125627.4069381</v>
      </c>
      <c r="D12" s="4" t="n">
        <v>126642.6</v>
      </c>
      <c r="E12" s="4" t="n">
        <v>131621.6</v>
      </c>
      <c r="F12" s="4" t="n">
        <v>5994.1930619</v>
      </c>
      <c r="G12" s="4" t="n">
        <v>123676.9</v>
      </c>
      <c r="H12" s="4" t="n">
        <v>116376.1</v>
      </c>
      <c r="I12" s="5" t="n">
        <v>9947796.97</v>
      </c>
      <c r="J12" s="5" t="n">
        <v>2524137.55</v>
      </c>
      <c r="K12" s="4" t="n">
        <v>13284.66</v>
      </c>
      <c r="L12" s="4" t="n">
        <v>460723.468797863</v>
      </c>
    </row>
    <row r="13" customFormat="false" ht="15" hidden="false" customHeight="false" outlineLevel="0" collapsed="false">
      <c r="A13" s="4" t="s">
        <v>41</v>
      </c>
      <c r="B13" s="11" t="n">
        <v>44896</v>
      </c>
      <c r="C13" s="5" t="n">
        <v>121010.6</v>
      </c>
      <c r="D13" s="4" t="n">
        <v>122054</v>
      </c>
      <c r="E13" s="4" t="n">
        <v>134159.5</v>
      </c>
      <c r="F13" s="4" t="n">
        <v>13148.9</v>
      </c>
      <c r="G13" s="4" t="n">
        <v>119231.3</v>
      </c>
      <c r="H13" s="4" t="n">
        <v>112316.7</v>
      </c>
      <c r="I13" s="5" t="n">
        <v>9404273.36</v>
      </c>
      <c r="J13" s="5" t="n">
        <v>2659773.99</v>
      </c>
      <c r="K13" s="4" t="n">
        <v>93295.54</v>
      </c>
      <c r="L13" s="4" t="n">
        <v>988125.788</v>
      </c>
    </row>
    <row r="14" customFormat="false" ht="15" hidden="false" customHeight="false" outlineLevel="0" collapsed="false">
      <c r="A14" s="4" t="s">
        <v>41</v>
      </c>
      <c r="B14" s="11" t="n">
        <v>44927</v>
      </c>
      <c r="C14" s="5" t="n">
        <v>123846.0716614</v>
      </c>
      <c r="D14" s="4" t="n">
        <v>125585</v>
      </c>
      <c r="E14" s="4" t="n">
        <v>131108.9</v>
      </c>
      <c r="F14" s="4" t="n">
        <v>7262.8283386</v>
      </c>
      <c r="G14" s="4" t="n">
        <v>121972.6</v>
      </c>
      <c r="H14" s="4" t="n">
        <v>115592.8</v>
      </c>
      <c r="I14" s="5" t="n">
        <v>9602084.98</v>
      </c>
      <c r="J14" s="5" t="n">
        <v>2592841.54</v>
      </c>
      <c r="K14" s="4" t="n">
        <v>12904.88</v>
      </c>
      <c r="L14" s="4" t="n">
        <v>541639.091342946</v>
      </c>
    </row>
    <row r="15" customFormat="false" ht="15" hidden="false" customHeight="false" outlineLevel="0" collapsed="false">
      <c r="A15" s="4" t="s">
        <v>41</v>
      </c>
      <c r="B15" s="11" t="n">
        <v>44958</v>
      </c>
      <c r="C15" s="5" t="n">
        <v>111666.7200758</v>
      </c>
      <c r="D15" s="4" t="n">
        <v>111878</v>
      </c>
      <c r="E15" s="4" t="n">
        <v>117226.1</v>
      </c>
      <c r="F15" s="4" t="n">
        <v>5559.4</v>
      </c>
      <c r="G15" s="4" t="n">
        <v>109760.7</v>
      </c>
      <c r="H15" s="4" t="n">
        <v>102931.6</v>
      </c>
      <c r="I15" s="5" t="n">
        <v>8302828.88</v>
      </c>
      <c r="J15" s="5" t="n">
        <v>2394118.3</v>
      </c>
      <c r="K15" s="4" t="n">
        <v>57480.55</v>
      </c>
      <c r="L15" s="4" t="n">
        <v>399727.78</v>
      </c>
    </row>
    <row r="16" customFormat="false" ht="15" hidden="false" customHeight="false" outlineLevel="0" collapsed="false">
      <c r="A16" s="4" t="s">
        <v>41</v>
      </c>
      <c r="B16" s="11" t="n">
        <v>44986</v>
      </c>
      <c r="C16" s="5" t="n">
        <v>112949.5027251</v>
      </c>
      <c r="D16" s="4" t="n">
        <v>117291.9</v>
      </c>
      <c r="E16" s="4" t="n">
        <v>131222.3</v>
      </c>
      <c r="F16" s="4" t="n">
        <v>18272.7972749</v>
      </c>
      <c r="G16" s="4" t="n">
        <v>111429.1</v>
      </c>
      <c r="H16" s="4" t="n">
        <v>108096.2</v>
      </c>
      <c r="I16" s="5" t="n">
        <v>7575083.32</v>
      </c>
      <c r="J16" s="5" t="n">
        <v>2594265.35</v>
      </c>
      <c r="K16" s="4" t="n">
        <v>72691.74</v>
      </c>
      <c r="L16" s="4" t="n">
        <v>1175607.1087574</v>
      </c>
    </row>
    <row r="17" customFormat="false" ht="15" hidden="false" customHeight="false" outlineLevel="0" collapsed="false">
      <c r="A17" s="4" t="s">
        <v>41</v>
      </c>
      <c r="B17" s="11" t="n">
        <v>45017</v>
      </c>
      <c r="C17" s="5" t="n">
        <v>114648.9702415</v>
      </c>
      <c r="D17" s="4" t="n">
        <v>122714.7</v>
      </c>
      <c r="E17" s="4" t="n">
        <v>134315.8</v>
      </c>
      <c r="F17" s="4" t="n">
        <v>19666.8297585</v>
      </c>
      <c r="G17" s="4" t="n">
        <v>113013.6</v>
      </c>
      <c r="H17" s="4" t="n">
        <v>113037.8</v>
      </c>
      <c r="I17" s="5" t="n">
        <v>7555444.7</v>
      </c>
      <c r="J17" s="5" t="n">
        <v>2630486.06</v>
      </c>
      <c r="K17" s="4" t="n">
        <v>110417.37</v>
      </c>
      <c r="L17" s="4" t="n">
        <v>1246391.13367826</v>
      </c>
    </row>
    <row r="18" customFormat="false" ht="15" hidden="false" customHeight="false" outlineLevel="0" collapsed="false">
      <c r="A18" s="4" t="s">
        <v>41</v>
      </c>
      <c r="B18" s="11" t="n">
        <v>45047</v>
      </c>
      <c r="C18" s="5" t="n">
        <v>122947.0132805</v>
      </c>
      <c r="D18" s="4" t="n">
        <v>131324.6</v>
      </c>
      <c r="E18" s="4" t="n">
        <v>135632</v>
      </c>
      <c r="F18" s="4" t="n">
        <v>12684.9867195</v>
      </c>
      <c r="G18" s="4" t="n">
        <v>121112.9</v>
      </c>
      <c r="H18" s="4" t="n">
        <v>120900.5</v>
      </c>
      <c r="I18" s="5" t="n">
        <v>7916260</v>
      </c>
      <c r="J18" s="5" t="n">
        <v>2669800.84</v>
      </c>
      <c r="K18" s="4" t="n">
        <v>33198.12</v>
      </c>
      <c r="L18" s="4" t="n">
        <v>785609.009102066</v>
      </c>
    </row>
    <row r="19" customFormat="false" ht="15" hidden="false" customHeight="false" outlineLevel="0" collapsed="false">
      <c r="A19" s="4" t="s">
        <v>41</v>
      </c>
      <c r="B19" s="11" t="n">
        <v>45078</v>
      </c>
      <c r="C19" s="5" t="n">
        <v>119809.5737985</v>
      </c>
      <c r="D19" s="4" t="n">
        <v>127787.7</v>
      </c>
      <c r="E19" s="4" t="n">
        <v>129325.3</v>
      </c>
      <c r="F19" s="4" t="n">
        <v>9515.7262015</v>
      </c>
      <c r="G19" s="4" t="n">
        <v>118227.8</v>
      </c>
      <c r="H19" s="4" t="n">
        <v>117793.1</v>
      </c>
      <c r="I19" s="5" t="n">
        <v>7842813.29</v>
      </c>
      <c r="J19" s="5" t="n">
        <v>2573454.85</v>
      </c>
      <c r="K19" s="4" t="n">
        <v>50804.05</v>
      </c>
      <c r="L19" s="4" t="n">
        <v>599997.16459869</v>
      </c>
    </row>
    <row r="20" customFormat="false" ht="15" hidden="false" customHeight="false" outlineLevel="0" collapsed="false">
      <c r="A20" s="4" t="s">
        <v>41</v>
      </c>
      <c r="B20" s="11" t="n">
        <v>45108</v>
      </c>
      <c r="C20" s="5" t="n">
        <v>118617.3885456</v>
      </c>
      <c r="D20" s="4" t="n">
        <v>127867.8</v>
      </c>
      <c r="E20" s="4" t="n">
        <v>132301.8</v>
      </c>
      <c r="F20" s="4" t="n">
        <v>13684.4114544</v>
      </c>
      <c r="G20" s="4" t="n">
        <v>116921.8</v>
      </c>
      <c r="H20" s="4" t="n">
        <v>117617.5</v>
      </c>
      <c r="I20" s="5" t="n">
        <v>7862799.61</v>
      </c>
      <c r="J20" s="5" t="n">
        <v>2714417.81</v>
      </c>
      <c r="K20" s="4" t="n">
        <v>117718.78</v>
      </c>
      <c r="L20" s="4" t="n">
        <v>879663.538737968</v>
      </c>
    </row>
    <row r="21" customFormat="false" ht="15" hidden="false" customHeight="false" outlineLevel="0" collapsed="false">
      <c r="A21" s="4" t="s">
        <v>41</v>
      </c>
      <c r="B21" s="11" t="n">
        <v>45139</v>
      </c>
      <c r="C21" s="5" t="n">
        <v>115540.0057748</v>
      </c>
      <c r="D21" s="4" t="n">
        <v>125042.8</v>
      </c>
      <c r="E21" s="4" t="n">
        <v>128567.6</v>
      </c>
      <c r="F21" s="4" t="n">
        <v>13027.5942252</v>
      </c>
      <c r="G21" s="4" t="n">
        <v>114188.7</v>
      </c>
      <c r="H21" s="4" t="n">
        <v>115230.5</v>
      </c>
      <c r="I21" s="5" t="n">
        <v>8145442.2</v>
      </c>
      <c r="J21" s="5" t="n">
        <v>2643870.87</v>
      </c>
      <c r="K21" s="4" t="n">
        <v>66192.46</v>
      </c>
      <c r="L21" s="4" t="n">
        <v>888722.752310704</v>
      </c>
    </row>
    <row r="22" customFormat="false" ht="15" hidden="false" customHeight="false" outlineLevel="0" collapsed="false">
      <c r="A22" s="4" t="s">
        <v>41</v>
      </c>
      <c r="B22" s="11" t="n">
        <v>45170</v>
      </c>
      <c r="C22" s="5" t="n">
        <v>116203.8291569</v>
      </c>
      <c r="D22" s="4" t="n">
        <v>124574.4</v>
      </c>
      <c r="E22" s="4" t="n">
        <v>123051.1</v>
      </c>
      <c r="F22" s="4" t="n">
        <v>6847.2708431</v>
      </c>
      <c r="G22" s="4" t="n">
        <v>114449.8</v>
      </c>
      <c r="H22" s="4" t="n">
        <v>114725.4</v>
      </c>
      <c r="I22" s="5" t="n">
        <v>7583691.16</v>
      </c>
      <c r="J22" s="5" t="n">
        <v>2563880.19</v>
      </c>
      <c r="K22" s="4" t="n">
        <v>42221.07</v>
      </c>
      <c r="L22" s="4" t="n">
        <v>435707.351242937</v>
      </c>
    </row>
    <row r="23" customFormat="false" ht="15" hidden="false" customHeight="false" outlineLevel="0" collapsed="false">
      <c r="A23" s="4" t="s">
        <v>41</v>
      </c>
      <c r="B23" s="11" t="n">
        <v>45200</v>
      </c>
      <c r="C23" s="5" t="n">
        <v>109070.5280412</v>
      </c>
      <c r="D23" s="4" t="n">
        <v>117689.8</v>
      </c>
      <c r="E23" s="4" t="n">
        <v>124327.6</v>
      </c>
      <c r="F23" s="4" t="n">
        <v>15257.0719588</v>
      </c>
      <c r="G23" s="4" t="n">
        <v>107315.4</v>
      </c>
      <c r="H23" s="4" t="n">
        <v>108218.6</v>
      </c>
      <c r="I23" s="5" t="n">
        <v>8188599.66</v>
      </c>
      <c r="J23" s="5" t="n">
        <v>2639623.94</v>
      </c>
      <c r="K23" s="4" t="n">
        <v>114728.29</v>
      </c>
      <c r="L23" s="4" t="n">
        <v>1115979.9499203</v>
      </c>
    </row>
    <row r="24" customFormat="false" ht="15" hidden="false" customHeight="false" outlineLevel="0" collapsed="false">
      <c r="A24" s="4" t="s">
        <v>41</v>
      </c>
      <c r="B24" s="11" t="n">
        <v>45231</v>
      </c>
      <c r="C24" s="5" t="n">
        <v>139120.7091083</v>
      </c>
      <c r="D24" s="4" t="n">
        <v>164452.4</v>
      </c>
      <c r="E24" s="4" t="n">
        <v>149710.6</v>
      </c>
      <c r="F24" s="4" t="n">
        <v>10589.8908917</v>
      </c>
      <c r="G24" s="4" t="n">
        <v>136822.8</v>
      </c>
      <c r="H24" s="4" t="n">
        <v>151306</v>
      </c>
      <c r="I24" s="5" t="n">
        <v>9476727.78</v>
      </c>
      <c r="J24" s="5" t="n">
        <v>2844406.31</v>
      </c>
      <c r="K24" s="4" t="n">
        <v>73147.52</v>
      </c>
      <c r="L24" s="4" t="n">
        <v>697721.220321619</v>
      </c>
    </row>
    <row r="25" customFormat="false" ht="15" hidden="false" customHeight="false" outlineLevel="0" collapsed="false">
      <c r="A25" s="4" t="s">
        <v>41</v>
      </c>
      <c r="B25" s="11" t="n">
        <v>45261</v>
      </c>
      <c r="C25" s="5" t="n">
        <v>132146.4469274</v>
      </c>
      <c r="D25" s="4" t="n">
        <v>155122.9</v>
      </c>
      <c r="E25" s="4" t="n">
        <v>150837.4</v>
      </c>
      <c r="F25" s="4" t="n">
        <v>18690.9825541</v>
      </c>
      <c r="G25" s="4" t="n">
        <v>130385.9</v>
      </c>
      <c r="H25" s="4" t="n">
        <v>142577.1</v>
      </c>
      <c r="I25" s="5" t="n">
        <v>8855821.8</v>
      </c>
      <c r="J25" s="5" t="n">
        <v>2848117.93</v>
      </c>
      <c r="K25" s="4" t="n">
        <v>58754.58</v>
      </c>
      <c r="L25" s="4" t="n">
        <v>1212874.70845335</v>
      </c>
    </row>
    <row r="26" customFormat="false" ht="15" hidden="false" customHeight="false" outlineLevel="0" collapsed="false">
      <c r="A26" s="4" t="s">
        <v>41</v>
      </c>
      <c r="B26" s="11" t="n">
        <v>45292</v>
      </c>
      <c r="C26" s="5" t="n">
        <v>137172.5025297</v>
      </c>
      <c r="D26" s="4" t="n">
        <v>160619.1</v>
      </c>
      <c r="E26" s="4" t="n">
        <v>147247.4</v>
      </c>
      <c r="F26" s="4" t="n">
        <v>10074.8974703</v>
      </c>
      <c r="G26" s="4" t="n">
        <v>135333.1</v>
      </c>
      <c r="H26" s="4" t="n">
        <v>148064.5</v>
      </c>
      <c r="I26" s="5" t="n">
        <v>9647099.82</v>
      </c>
      <c r="J26" s="5" t="n">
        <v>2884071.15</v>
      </c>
      <c r="K26" s="4" t="n">
        <v>48968.19</v>
      </c>
      <c r="L26" s="4" t="n">
        <v>684798.51129518</v>
      </c>
    </row>
    <row r="27" customFormat="false" ht="15" hidden="false" customHeight="false" outlineLevel="0" collapsed="false">
      <c r="A27" s="4" t="s">
        <v>41</v>
      </c>
      <c r="B27" s="11" t="n">
        <v>45323</v>
      </c>
      <c r="C27" s="5" t="n">
        <v>124101.1284202</v>
      </c>
      <c r="D27" s="4" t="n">
        <v>145788.1</v>
      </c>
      <c r="E27" s="4" t="n">
        <v>134740.9</v>
      </c>
      <c r="F27" s="4" t="n">
        <v>10639.7715798</v>
      </c>
      <c r="G27" s="4" t="n">
        <v>122317.6</v>
      </c>
      <c r="H27" s="4" t="n">
        <v>134195.7</v>
      </c>
      <c r="I27" s="5" t="n">
        <v>8971584.19</v>
      </c>
      <c r="J27" s="5" t="n">
        <v>2662584.05</v>
      </c>
      <c r="K27" s="4" t="n">
        <v>30597.88</v>
      </c>
      <c r="L27" s="4" t="n">
        <v>739233.418731229</v>
      </c>
    </row>
    <row r="28" customFormat="false" ht="15" hidden="false" customHeight="false" outlineLevel="0" collapsed="false">
      <c r="A28" s="4" t="s">
        <v>41</v>
      </c>
      <c r="B28" s="11" t="n">
        <v>45352</v>
      </c>
      <c r="C28" s="5" t="n">
        <v>134231.3312736</v>
      </c>
      <c r="D28" s="4" t="n">
        <v>157612.7</v>
      </c>
      <c r="E28" s="4" t="n">
        <v>140767.6</v>
      </c>
      <c r="F28" s="4" t="n">
        <v>6536.2729054</v>
      </c>
      <c r="G28" s="4" t="n">
        <v>132024.1</v>
      </c>
      <c r="H28" s="4" t="n">
        <v>144960.1</v>
      </c>
      <c r="I28" s="5" t="n">
        <v>9762752.39</v>
      </c>
      <c r="J28" s="5" t="n">
        <v>2816288.52</v>
      </c>
      <c r="K28" s="4" t="n">
        <v>18709.8</v>
      </c>
      <c r="L28" s="4" t="n">
        <v>461963.042288808</v>
      </c>
    </row>
    <row r="29" customFormat="false" ht="15" hidden="false" customHeight="false" outlineLevel="0" collapsed="false">
      <c r="A29" s="4" t="s">
        <v>41</v>
      </c>
      <c r="B29" s="11" t="n">
        <v>45383</v>
      </c>
      <c r="C29" s="5" t="n">
        <v>110472.8355469</v>
      </c>
      <c r="D29" s="4" t="n">
        <v>128130.1</v>
      </c>
      <c r="E29" s="4" t="n">
        <v>133815.5</v>
      </c>
      <c r="F29" s="4" t="n">
        <v>23342.674819</v>
      </c>
      <c r="G29" s="4" t="n">
        <v>108882.3</v>
      </c>
      <c r="H29" s="4" t="n">
        <v>117875</v>
      </c>
      <c r="I29" s="5" t="n">
        <v>8051103.07</v>
      </c>
      <c r="J29" s="5" t="n">
        <v>2661514.24</v>
      </c>
      <c r="K29" s="4" t="n">
        <v>99198.1</v>
      </c>
      <c r="L29" s="4" t="n">
        <v>1644593.06990443</v>
      </c>
    </row>
    <row r="30" customFormat="false" ht="15" hidden="false" customHeight="false" outlineLevel="0" collapsed="false">
      <c r="A30" s="4" t="s">
        <v>41</v>
      </c>
      <c r="B30" s="11" t="n">
        <v>45413</v>
      </c>
      <c r="C30" s="5" t="n">
        <v>125059.4030973</v>
      </c>
      <c r="D30" s="4" t="n">
        <v>146748.5</v>
      </c>
      <c r="E30" s="4" t="n">
        <v>134679.4</v>
      </c>
      <c r="F30" s="4" t="n">
        <v>9620.0036037</v>
      </c>
      <c r="G30" s="4" t="n">
        <v>123386.1</v>
      </c>
      <c r="H30" s="4" t="n">
        <v>135113.7</v>
      </c>
      <c r="I30" s="5" t="n">
        <v>8965938.21</v>
      </c>
      <c r="J30" s="5" t="n">
        <v>2801270.44</v>
      </c>
      <c r="K30" s="4" t="n">
        <v>33381.17</v>
      </c>
      <c r="L30" s="4" t="n">
        <v>662808.150002313</v>
      </c>
    </row>
    <row r="31" customFormat="false" ht="15" hidden="false" customHeight="false" outlineLevel="0" collapsed="false">
      <c r="A31" s="4" t="s">
        <v>41</v>
      </c>
      <c r="B31" s="11" t="n">
        <v>45444</v>
      </c>
      <c r="C31" s="5" t="n">
        <v>122306.7021779</v>
      </c>
      <c r="D31" s="4" t="n">
        <v>143216.6</v>
      </c>
      <c r="E31" s="4" t="n">
        <v>128095.6</v>
      </c>
      <c r="F31" s="4" t="n">
        <v>5788.8978221</v>
      </c>
      <c r="G31" s="4" t="n">
        <v>120487.7</v>
      </c>
      <c r="H31" s="4" t="n">
        <v>131779.8</v>
      </c>
      <c r="I31" s="5" t="n">
        <v>7934651.74</v>
      </c>
      <c r="J31" s="5" t="n">
        <v>2670547.3</v>
      </c>
      <c r="K31" s="4" t="n">
        <v>10624.55</v>
      </c>
      <c r="L31" s="4" t="n">
        <v>360634.764542562</v>
      </c>
    </row>
    <row r="32" customFormat="false" ht="15" hidden="false" customHeight="false" outlineLevel="0" collapsed="false">
      <c r="A32" s="4" t="s">
        <v>41</v>
      </c>
      <c r="B32" s="11" t="n">
        <v>45474</v>
      </c>
      <c r="C32" s="5" t="n">
        <v>118875.2860644</v>
      </c>
      <c r="D32" s="4" t="n">
        <v>139546</v>
      </c>
      <c r="E32" s="4" t="n">
        <v>129789.2</v>
      </c>
      <c r="F32" s="4" t="n">
        <v>10913.9139356</v>
      </c>
      <c r="G32" s="4" t="n">
        <v>116982.9</v>
      </c>
      <c r="H32" s="4" t="n">
        <v>128292.2</v>
      </c>
      <c r="I32" s="5" t="n">
        <v>8001363.98</v>
      </c>
      <c r="J32" s="5" t="n">
        <v>2794052.79</v>
      </c>
      <c r="K32" s="4" t="n">
        <v>99323.47</v>
      </c>
      <c r="L32" s="4" t="n">
        <v>712957.905659162</v>
      </c>
    </row>
    <row r="33" customFormat="false" ht="15" hidden="false" customHeight="false" outlineLevel="0" collapsed="false">
      <c r="A33" s="4" t="s">
        <v>41</v>
      </c>
      <c r="B33" s="11" t="n">
        <v>45505</v>
      </c>
      <c r="C33" s="5" t="n">
        <v>106314.7715535</v>
      </c>
      <c r="D33" s="4" t="n">
        <v>125186.6</v>
      </c>
      <c r="E33" s="4" t="n">
        <v>126667.1</v>
      </c>
      <c r="F33" s="4" t="n">
        <v>20352.3310093</v>
      </c>
      <c r="G33" s="4" t="n">
        <v>104716.7</v>
      </c>
      <c r="H33" s="4" t="n">
        <v>115203.2</v>
      </c>
      <c r="I33" s="5" t="n">
        <v>7353453.09</v>
      </c>
      <c r="J33" s="5" t="n">
        <v>2706364.72</v>
      </c>
      <c r="K33" s="4" t="n">
        <v>180946.18</v>
      </c>
      <c r="L33" s="4" t="n">
        <v>1366921.38032613</v>
      </c>
    </row>
    <row r="34" customFormat="false" ht="15" hidden="false" customHeight="false" outlineLevel="0" collapsed="false">
      <c r="A34" s="4" t="s">
        <v>41</v>
      </c>
      <c r="B34" s="11" t="n">
        <v>45536</v>
      </c>
      <c r="C34" s="5" t="n">
        <v>110415.9246202</v>
      </c>
      <c r="D34" s="4" t="n">
        <v>129722.8</v>
      </c>
      <c r="E34" s="4" t="n">
        <v>120405.9</v>
      </c>
      <c r="F34" s="4" t="n">
        <v>9989.9753798</v>
      </c>
      <c r="G34" s="4" t="n">
        <v>108700.3</v>
      </c>
      <c r="H34" s="4" t="n">
        <v>119367.5</v>
      </c>
      <c r="I34" s="5" t="n">
        <v>7865715.78</v>
      </c>
      <c r="J34" s="5" t="n">
        <v>2540495.57</v>
      </c>
      <c r="K34" s="4" t="n">
        <v>43716.31</v>
      </c>
      <c r="L34" s="4" t="n">
        <v>691476.018625684</v>
      </c>
    </row>
    <row r="35" customFormat="false" ht="15" hidden="false" customHeight="false" outlineLevel="0" collapsed="false">
      <c r="A35" s="4" t="s">
        <v>41</v>
      </c>
      <c r="B35" s="11" t="n">
        <v>45566</v>
      </c>
      <c r="C35" s="5" t="n">
        <v>107613.2</v>
      </c>
      <c r="D35" s="4" t="n">
        <v>126125.5</v>
      </c>
      <c r="E35" s="4" t="n">
        <v>121983.8</v>
      </c>
      <c r="F35" s="4" t="n">
        <v>14370.6</v>
      </c>
      <c r="G35" s="4" t="n">
        <v>105897.9</v>
      </c>
      <c r="H35" s="4" t="n">
        <v>115841.9</v>
      </c>
      <c r="I35" s="5" t="n">
        <v>8203191.53</v>
      </c>
      <c r="J35" s="5" t="n">
        <v>2642162.38</v>
      </c>
      <c r="K35" s="4" t="n">
        <v>58844.07</v>
      </c>
      <c r="L35" s="4" t="n">
        <v>1071628.072</v>
      </c>
    </row>
    <row r="36" customFormat="false" ht="15" hidden="false" customHeight="false" outlineLevel="0" collapsed="false">
      <c r="A36" s="4" t="s">
        <v>41</v>
      </c>
      <c r="B36" s="11" t="n">
        <v>45597</v>
      </c>
      <c r="C36" s="5" t="n">
        <v>105426.1272365</v>
      </c>
      <c r="D36" s="4" t="n">
        <v>123321.9</v>
      </c>
      <c r="E36" s="4" t="n">
        <v>116156.2</v>
      </c>
      <c r="F36" s="4" t="n">
        <v>10730.0727635</v>
      </c>
      <c r="G36" s="4" t="n">
        <v>103797.5</v>
      </c>
      <c r="H36" s="4" t="n">
        <v>113513.9</v>
      </c>
      <c r="I36" s="5" t="n">
        <v>8419693.14</v>
      </c>
      <c r="J36" s="5" t="n">
        <v>2596881.39</v>
      </c>
      <c r="K36" s="4" t="n">
        <v>74257.69</v>
      </c>
      <c r="L36" s="4" t="n">
        <v>834002.940378065</v>
      </c>
    </row>
    <row r="37" customFormat="false" ht="15" hidden="false" customHeight="false" outlineLevel="0" collapsed="false">
      <c r="A37" s="4" t="s">
        <v>41</v>
      </c>
      <c r="B37" s="11" t="n">
        <v>45627</v>
      </c>
      <c r="C37" s="5" t="n">
        <v>109771.4106973</v>
      </c>
      <c r="D37" s="4" t="n">
        <v>129629.7</v>
      </c>
      <c r="E37" s="4" t="n">
        <v>117959.8</v>
      </c>
      <c r="F37" s="4" t="n">
        <v>8188.3893027</v>
      </c>
      <c r="G37" s="4" t="n">
        <v>108136.2</v>
      </c>
      <c r="H37" s="4" t="n">
        <v>119215.4</v>
      </c>
      <c r="I37" s="5" t="n">
        <v>8037023.36</v>
      </c>
      <c r="J37" s="5" t="n">
        <v>2668186.72</v>
      </c>
      <c r="K37" s="4" t="n">
        <v>56962.43</v>
      </c>
      <c r="L37" s="4" t="n">
        <v>577014.230887503</v>
      </c>
    </row>
    <row r="38" customFormat="false" ht="15" hidden="false" customHeight="false" outlineLevel="0" collapsed="false">
      <c r="A38" s="4" t="s">
        <v>42</v>
      </c>
      <c r="B38" s="11" t="n">
        <v>44562</v>
      </c>
      <c r="C38" s="5" t="n">
        <v>47966.6815812</v>
      </c>
      <c r="D38" s="4" t="n">
        <v>46328</v>
      </c>
      <c r="E38" s="4" t="n">
        <v>53777.2</v>
      </c>
      <c r="F38" s="4" t="n">
        <v>5810.5184188</v>
      </c>
      <c r="G38" s="4" t="n">
        <v>47236.6</v>
      </c>
      <c r="H38" s="4" t="n">
        <v>42550.8</v>
      </c>
      <c r="I38" s="5" t="n">
        <v>3302802.91</v>
      </c>
      <c r="J38" s="5" t="n">
        <v>1612694.55</v>
      </c>
      <c r="K38" s="4" t="n">
        <v>66801.47</v>
      </c>
      <c r="L38" s="4" t="n">
        <v>390688.760442683</v>
      </c>
    </row>
    <row r="39" customFormat="false" ht="15" hidden="false" customHeight="false" outlineLevel="0" collapsed="false">
      <c r="A39" s="4" t="s">
        <v>42</v>
      </c>
      <c r="B39" s="11" t="n">
        <v>44593</v>
      </c>
      <c r="C39" s="5" t="n">
        <v>46241.5</v>
      </c>
      <c r="D39" s="4" t="n">
        <v>44140.5</v>
      </c>
      <c r="E39" s="4" t="n">
        <v>54372.8</v>
      </c>
      <c r="F39" s="4" t="n">
        <v>8131.3</v>
      </c>
      <c r="G39" s="4" t="n">
        <v>45551.4</v>
      </c>
      <c r="H39" s="4" t="n">
        <v>40596.3</v>
      </c>
      <c r="I39" s="5" t="n">
        <v>3132927.67</v>
      </c>
      <c r="J39" s="5" t="n">
        <v>1568037.07</v>
      </c>
      <c r="K39" s="4" t="n">
        <v>134717.72</v>
      </c>
      <c r="L39" s="4" t="n">
        <v>532047.482</v>
      </c>
    </row>
    <row r="40" customFormat="false" ht="15" hidden="false" customHeight="false" outlineLevel="0" collapsed="false">
      <c r="A40" s="4" t="s">
        <v>42</v>
      </c>
      <c r="B40" s="11" t="n">
        <v>44621</v>
      </c>
      <c r="C40" s="5" t="n">
        <v>72861.6982029</v>
      </c>
      <c r="D40" s="4" t="n">
        <v>65049.8</v>
      </c>
      <c r="E40" s="4" t="n">
        <v>88249.4</v>
      </c>
      <c r="F40" s="4" t="n">
        <v>15387.7017971</v>
      </c>
      <c r="G40" s="4" t="n">
        <v>71837.8</v>
      </c>
      <c r="H40" s="4" t="n">
        <v>59867</v>
      </c>
      <c r="I40" s="5" t="n">
        <v>5034797.23</v>
      </c>
      <c r="J40" s="5" t="n">
        <v>2056937.08</v>
      </c>
      <c r="K40" s="4" t="n">
        <v>167980.23</v>
      </c>
      <c r="L40" s="4" t="n">
        <v>1024257.9779066</v>
      </c>
    </row>
    <row r="41" customFormat="false" ht="15" hidden="false" customHeight="false" outlineLevel="0" collapsed="false">
      <c r="A41" s="4" t="s">
        <v>42</v>
      </c>
      <c r="B41" s="11" t="n">
        <v>44652</v>
      </c>
      <c r="C41" s="5" t="n">
        <v>82235.6494358</v>
      </c>
      <c r="D41" s="4" t="n">
        <v>73706.2</v>
      </c>
      <c r="E41" s="4" t="n">
        <v>89242.3</v>
      </c>
      <c r="F41" s="4" t="n">
        <v>7006.6505642</v>
      </c>
      <c r="G41" s="4" t="n">
        <v>78087.1</v>
      </c>
      <c r="H41" s="4" t="n">
        <v>65442.1</v>
      </c>
      <c r="I41" s="5" t="n">
        <v>6139233.91</v>
      </c>
      <c r="J41" s="5" t="n">
        <v>1946806.23</v>
      </c>
      <c r="K41" s="4" t="n">
        <v>36528.08</v>
      </c>
      <c r="L41" s="4" t="n">
        <v>519563.091458587</v>
      </c>
    </row>
    <row r="42" customFormat="false" ht="15" hidden="false" customHeight="false" outlineLevel="0" collapsed="false">
      <c r="A42" s="4" t="s">
        <v>42</v>
      </c>
      <c r="B42" s="11" t="n">
        <v>44682</v>
      </c>
      <c r="C42" s="5" t="n">
        <v>98121.7997366</v>
      </c>
      <c r="D42" s="4" t="n">
        <v>86199.1</v>
      </c>
      <c r="E42" s="4" t="n">
        <v>105937</v>
      </c>
      <c r="F42" s="4" t="n">
        <v>7815.2002634</v>
      </c>
      <c r="G42" s="4" t="n">
        <v>96662.8</v>
      </c>
      <c r="H42" s="4" t="n">
        <v>79421.4</v>
      </c>
      <c r="I42" s="5" t="n">
        <v>8095105.15</v>
      </c>
      <c r="J42" s="5" t="n">
        <v>2157764.61</v>
      </c>
      <c r="K42" s="4" t="n">
        <v>17059.33</v>
      </c>
      <c r="L42" s="4" t="n">
        <v>637889.817042109</v>
      </c>
    </row>
    <row r="43" customFormat="false" ht="15" hidden="false" customHeight="false" outlineLevel="0" collapsed="false">
      <c r="A43" s="4" t="s">
        <v>42</v>
      </c>
      <c r="B43" s="11" t="n">
        <v>44713</v>
      </c>
      <c r="C43" s="5" t="n">
        <v>88237.5816959</v>
      </c>
      <c r="D43" s="4" t="n">
        <v>78047.1</v>
      </c>
      <c r="E43" s="4" t="n">
        <v>103252.4</v>
      </c>
      <c r="F43" s="4" t="n">
        <v>15014.8183041</v>
      </c>
      <c r="G43" s="4" t="n">
        <v>86805</v>
      </c>
      <c r="H43" s="4" t="n">
        <v>71796.5</v>
      </c>
      <c r="I43" s="5" t="n">
        <v>6681254.82</v>
      </c>
      <c r="J43" s="5" t="n">
        <v>2103914.76</v>
      </c>
      <c r="K43" s="4" t="n">
        <v>75330.21</v>
      </c>
      <c r="L43" s="4" t="n">
        <v>1118540.43983849</v>
      </c>
    </row>
    <row r="44" customFormat="false" ht="15" hidden="false" customHeight="false" outlineLevel="0" collapsed="false">
      <c r="A44" s="4" t="s">
        <v>42</v>
      </c>
      <c r="B44" s="11" t="n">
        <v>44743</v>
      </c>
      <c r="C44" s="5" t="n">
        <v>83899.7459808</v>
      </c>
      <c r="D44" s="4" t="n">
        <v>74588</v>
      </c>
      <c r="E44" s="4" t="n">
        <v>103230.4</v>
      </c>
      <c r="F44" s="4" t="n">
        <v>19330.6540192</v>
      </c>
      <c r="G44" s="4" t="n">
        <v>82665.8</v>
      </c>
      <c r="H44" s="4" t="n">
        <v>68667.4</v>
      </c>
      <c r="I44" s="5" t="n">
        <v>7118678.5</v>
      </c>
      <c r="J44" s="5" t="n">
        <v>2188458.22</v>
      </c>
      <c r="K44" s="4" t="n">
        <v>155562.16</v>
      </c>
      <c r="L44" s="4" t="n">
        <v>1601389.92914582</v>
      </c>
    </row>
    <row r="45" customFormat="false" ht="15" hidden="false" customHeight="false" outlineLevel="0" collapsed="false">
      <c r="A45" s="4" t="s">
        <v>42</v>
      </c>
      <c r="B45" s="11" t="n">
        <v>44774</v>
      </c>
      <c r="C45" s="5" t="n">
        <v>89352.4687137</v>
      </c>
      <c r="D45" s="4" t="n">
        <v>79123.9</v>
      </c>
      <c r="E45" s="4" t="n">
        <v>99890.5</v>
      </c>
      <c r="F45" s="4" t="n">
        <v>10538.0312863</v>
      </c>
      <c r="G45" s="4" t="n">
        <v>88006.5</v>
      </c>
      <c r="H45" s="4" t="n">
        <v>72849.3</v>
      </c>
      <c r="I45" s="5" t="n">
        <v>6940796.93</v>
      </c>
      <c r="J45" s="5" t="n">
        <v>2130792.9</v>
      </c>
      <c r="K45" s="4" t="n">
        <v>45686.65</v>
      </c>
      <c r="L45" s="4" t="n">
        <v>797814.467507541</v>
      </c>
    </row>
    <row r="46" customFormat="false" ht="15" hidden="false" customHeight="false" outlineLevel="0" collapsed="false">
      <c r="A46" s="4" t="s">
        <v>42</v>
      </c>
      <c r="B46" s="11" t="n">
        <v>44805</v>
      </c>
      <c r="C46" s="5" t="n">
        <v>88257.7</v>
      </c>
      <c r="D46" s="4" t="n">
        <v>79035.4</v>
      </c>
      <c r="E46" s="4" t="n">
        <v>94149.7</v>
      </c>
      <c r="F46" s="4" t="n">
        <v>5892</v>
      </c>
      <c r="G46" s="4" t="n">
        <v>86915.4</v>
      </c>
      <c r="H46" s="4" t="n">
        <v>72750</v>
      </c>
      <c r="I46" s="5" t="n">
        <v>6478205.42</v>
      </c>
      <c r="J46" s="5" t="n">
        <v>2073329.31</v>
      </c>
      <c r="K46" s="4" t="n">
        <v>37117.38</v>
      </c>
      <c r="L46" s="4" t="n">
        <v>419943.239</v>
      </c>
    </row>
    <row r="47" customFormat="false" ht="15" hidden="false" customHeight="false" outlineLevel="0" collapsed="false">
      <c r="A47" s="4" t="s">
        <v>42</v>
      </c>
      <c r="B47" s="11" t="n">
        <v>44835</v>
      </c>
      <c r="C47" s="5" t="n">
        <v>93390.6656241</v>
      </c>
      <c r="D47" s="4" t="n">
        <v>86814</v>
      </c>
      <c r="E47" s="4" t="n">
        <v>103893.3</v>
      </c>
      <c r="F47" s="4" t="n">
        <v>10502.6343759</v>
      </c>
      <c r="G47" s="4" t="n">
        <v>91734.2</v>
      </c>
      <c r="H47" s="4" t="n">
        <v>79984.5</v>
      </c>
      <c r="I47" s="5" t="n">
        <v>6628102.66</v>
      </c>
      <c r="J47" s="5" t="n">
        <v>2227050</v>
      </c>
      <c r="K47" s="4" t="n">
        <v>99093.08</v>
      </c>
      <c r="L47" s="4" t="n">
        <v>725862.530608895</v>
      </c>
    </row>
    <row r="48" customFormat="false" ht="15" hidden="false" customHeight="false" outlineLevel="0" collapsed="false">
      <c r="A48" s="4" t="s">
        <v>42</v>
      </c>
      <c r="B48" s="11" t="n">
        <v>44866</v>
      </c>
      <c r="C48" s="5" t="n">
        <v>114451.2299362</v>
      </c>
      <c r="D48" s="4" t="n">
        <v>111820.4</v>
      </c>
      <c r="E48" s="4" t="n">
        <v>123083</v>
      </c>
      <c r="F48" s="4" t="n">
        <v>8631.7715313</v>
      </c>
      <c r="G48" s="4" t="n">
        <v>112814.7</v>
      </c>
      <c r="H48" s="4" t="n">
        <v>102802.9</v>
      </c>
      <c r="I48" s="5" t="n">
        <v>9179712.09</v>
      </c>
      <c r="J48" s="5" t="n">
        <v>2416413.67</v>
      </c>
      <c r="K48" s="4" t="n">
        <v>107470.56</v>
      </c>
      <c r="L48" s="4" t="n">
        <v>671216.248125625</v>
      </c>
    </row>
    <row r="49" customFormat="false" ht="15" hidden="false" customHeight="false" outlineLevel="0" collapsed="false">
      <c r="A49" s="4" t="s">
        <v>42</v>
      </c>
      <c r="B49" s="11" t="n">
        <v>44896</v>
      </c>
      <c r="C49" s="5" t="n">
        <v>120644.5905544</v>
      </c>
      <c r="D49" s="4" t="n">
        <v>119330.9</v>
      </c>
      <c r="E49" s="4" t="n">
        <v>137590.1</v>
      </c>
      <c r="F49" s="4" t="n">
        <v>16945.5094456</v>
      </c>
      <c r="G49" s="4" t="n">
        <v>118828.3</v>
      </c>
      <c r="H49" s="4" t="n">
        <v>109871.8</v>
      </c>
      <c r="I49" s="5" t="n">
        <v>9519013.18</v>
      </c>
      <c r="J49" s="5" t="n">
        <v>2540133.71</v>
      </c>
      <c r="K49" s="4" t="n">
        <v>102572.73</v>
      </c>
      <c r="L49" s="4" t="n">
        <v>1290383.3777448</v>
      </c>
    </row>
    <row r="50" customFormat="false" ht="15" hidden="false" customHeight="false" outlineLevel="0" collapsed="false">
      <c r="A50" s="4" t="s">
        <v>42</v>
      </c>
      <c r="B50" s="11" t="n">
        <v>44927</v>
      </c>
      <c r="C50" s="5" t="n">
        <v>148464.6898168</v>
      </c>
      <c r="D50" s="4" t="n">
        <v>151297.8</v>
      </c>
      <c r="E50" s="4" t="n">
        <v>158971.3</v>
      </c>
      <c r="F50" s="4" t="n">
        <v>10506.6101832</v>
      </c>
      <c r="G50" s="4" t="n">
        <v>146280.8</v>
      </c>
      <c r="H50" s="4" t="n">
        <v>139424.7</v>
      </c>
      <c r="I50" s="5" t="n">
        <v>11651593.08</v>
      </c>
      <c r="J50" s="5" t="n">
        <v>2755828.04</v>
      </c>
      <c r="K50" s="4" t="n">
        <v>56558.69</v>
      </c>
      <c r="L50" s="4" t="n">
        <v>791916.351367168</v>
      </c>
    </row>
    <row r="51" customFormat="false" ht="15" hidden="false" customHeight="false" outlineLevel="0" collapsed="false">
      <c r="A51" s="4" t="s">
        <v>42</v>
      </c>
      <c r="B51" s="11" t="n">
        <v>44958</v>
      </c>
      <c r="C51" s="5" t="n">
        <v>128624.1</v>
      </c>
      <c r="D51" s="4" t="n">
        <v>131645.2</v>
      </c>
      <c r="E51" s="4" t="n">
        <v>139795.6</v>
      </c>
      <c r="F51" s="4" t="n">
        <v>11171.5</v>
      </c>
      <c r="G51" s="4" t="n">
        <v>126966.3</v>
      </c>
      <c r="H51" s="4" t="n">
        <v>121070.8</v>
      </c>
      <c r="I51" s="5" t="n">
        <v>9791539.32</v>
      </c>
      <c r="J51" s="5" t="n">
        <v>2478221.93</v>
      </c>
      <c r="K51" s="4" t="n">
        <v>74212.83</v>
      </c>
      <c r="L51" s="4" t="n">
        <v>818025.511</v>
      </c>
    </row>
    <row r="52" customFormat="false" ht="15" hidden="false" customHeight="false" outlineLevel="0" collapsed="false">
      <c r="A52" s="4" t="s">
        <v>42</v>
      </c>
      <c r="B52" s="11" t="n">
        <v>44986</v>
      </c>
      <c r="C52" s="5" t="n">
        <v>137112.3199484</v>
      </c>
      <c r="D52" s="4" t="n">
        <v>140906.3</v>
      </c>
      <c r="E52" s="4" t="n">
        <v>150352.3</v>
      </c>
      <c r="F52" s="4" t="n">
        <v>13240.0048944</v>
      </c>
      <c r="G52" s="4" t="n">
        <v>135186.7</v>
      </c>
      <c r="H52" s="4" t="n">
        <v>129654.7</v>
      </c>
      <c r="I52" s="5" t="n">
        <v>9308240.14</v>
      </c>
      <c r="J52" s="5" t="n">
        <v>2692745.9</v>
      </c>
      <c r="K52" s="4" t="n">
        <v>60640.56</v>
      </c>
      <c r="L52" s="4" t="n">
        <v>863436.365748246</v>
      </c>
    </row>
    <row r="53" customFormat="false" ht="15" hidden="false" customHeight="false" outlineLevel="0" collapsed="false">
      <c r="A53" s="4" t="s">
        <v>42</v>
      </c>
      <c r="B53" s="11" t="n">
        <v>45017</v>
      </c>
      <c r="C53" s="5" t="n">
        <v>133926.7868632</v>
      </c>
      <c r="D53" s="4" t="n">
        <v>137561.7</v>
      </c>
      <c r="E53" s="4" t="n">
        <v>141683.1</v>
      </c>
      <c r="F53" s="4" t="n">
        <v>7756.3293795</v>
      </c>
      <c r="G53" s="4" t="n">
        <v>131723.8</v>
      </c>
      <c r="H53" s="4" t="n">
        <v>126616.2</v>
      </c>
      <c r="I53" s="5" t="n">
        <v>8954579.31</v>
      </c>
      <c r="J53" s="5" t="n">
        <v>2582271.88</v>
      </c>
      <c r="K53" s="4" t="n">
        <v>47734.12</v>
      </c>
      <c r="L53" s="4" t="n">
        <v>498697.409710045</v>
      </c>
    </row>
    <row r="54" customFormat="false" ht="15" hidden="false" customHeight="false" outlineLevel="0" collapsed="false">
      <c r="A54" s="4" t="s">
        <v>42</v>
      </c>
      <c r="B54" s="11" t="n">
        <v>45047</v>
      </c>
      <c r="C54" s="5" t="n">
        <v>131105</v>
      </c>
      <c r="D54" s="4" t="n">
        <v>135558.5</v>
      </c>
      <c r="E54" s="4" t="n">
        <v>142269</v>
      </c>
      <c r="F54" s="4" t="n">
        <v>11164</v>
      </c>
      <c r="G54" s="4" t="n">
        <v>129239</v>
      </c>
      <c r="H54" s="4" t="n">
        <v>124678.7</v>
      </c>
      <c r="I54" s="5" t="n">
        <v>8603508.24</v>
      </c>
      <c r="J54" s="5" t="n">
        <v>2625488.34</v>
      </c>
      <c r="K54" s="4" t="n">
        <v>55475.49</v>
      </c>
      <c r="L54" s="4" t="n">
        <v>710033.816</v>
      </c>
    </row>
    <row r="55" customFormat="false" ht="15" hidden="false" customHeight="false" outlineLevel="0" collapsed="false">
      <c r="A55" s="4" t="s">
        <v>42</v>
      </c>
      <c r="B55" s="11" t="n">
        <v>45078</v>
      </c>
      <c r="C55" s="5" t="n">
        <v>136509.1389484</v>
      </c>
      <c r="D55" s="4" t="n">
        <v>139950.1</v>
      </c>
      <c r="E55" s="4" t="n">
        <v>147110</v>
      </c>
      <c r="F55" s="4" t="n">
        <v>10600.8610516</v>
      </c>
      <c r="G55" s="4" t="n">
        <v>134603.2</v>
      </c>
      <c r="H55" s="4" t="n">
        <v>128757.5</v>
      </c>
      <c r="I55" s="5" t="n">
        <v>9096924.36</v>
      </c>
      <c r="J55" s="5" t="n">
        <v>2680157.87</v>
      </c>
      <c r="K55" s="4" t="n">
        <v>89232.88</v>
      </c>
      <c r="L55" s="4" t="n">
        <v>686140.796205072</v>
      </c>
    </row>
    <row r="56" customFormat="false" ht="15" hidden="false" customHeight="false" outlineLevel="0" collapsed="false">
      <c r="A56" s="4" t="s">
        <v>42</v>
      </c>
      <c r="B56" s="11" t="n">
        <v>45108</v>
      </c>
      <c r="C56" s="5" t="n">
        <v>138338.6</v>
      </c>
      <c r="D56" s="4" t="n">
        <v>141239.9</v>
      </c>
      <c r="E56" s="4" t="n">
        <v>158552.2</v>
      </c>
      <c r="F56" s="4" t="n">
        <v>20213.6</v>
      </c>
      <c r="G56" s="4" t="n">
        <v>136451</v>
      </c>
      <c r="H56" s="4" t="n">
        <v>130123.9</v>
      </c>
      <c r="I56" s="5" t="n">
        <v>9355181.97</v>
      </c>
      <c r="J56" s="5" t="n">
        <v>2783196.14</v>
      </c>
      <c r="K56" s="4" t="n">
        <v>106129.58</v>
      </c>
      <c r="L56" s="4" t="n">
        <v>1331287.345</v>
      </c>
    </row>
    <row r="57" customFormat="false" ht="15" hidden="false" customHeight="false" outlineLevel="0" collapsed="false">
      <c r="A57" s="4" t="s">
        <v>42</v>
      </c>
      <c r="B57" s="11" t="n">
        <v>45139</v>
      </c>
      <c r="C57" s="5" t="n">
        <v>134973.1873492</v>
      </c>
      <c r="D57" s="4" t="n">
        <v>137438.3</v>
      </c>
      <c r="E57" s="4" t="n">
        <v>158505.3</v>
      </c>
      <c r="F57" s="4" t="n">
        <v>23532.1126508</v>
      </c>
      <c r="G57" s="4" t="n">
        <v>132897.8</v>
      </c>
      <c r="H57" s="4" t="n">
        <v>126282.5</v>
      </c>
      <c r="I57" s="5" t="n">
        <v>9673230.17</v>
      </c>
      <c r="J57" s="5" t="n">
        <v>2795088.61</v>
      </c>
      <c r="K57" s="4" t="n">
        <v>156579.79</v>
      </c>
      <c r="L57" s="4" t="n">
        <v>1640843.89498241</v>
      </c>
    </row>
    <row r="58" customFormat="false" ht="15" hidden="false" customHeight="false" outlineLevel="0" collapsed="false">
      <c r="A58" s="4" t="s">
        <v>42</v>
      </c>
      <c r="B58" s="11" t="n">
        <v>45170</v>
      </c>
      <c r="C58" s="5" t="n">
        <v>131571.0950707</v>
      </c>
      <c r="D58" s="4" t="n">
        <v>134985.2</v>
      </c>
      <c r="E58" s="4" t="n">
        <v>148170.8</v>
      </c>
      <c r="F58" s="4" t="n">
        <v>16599.7049293</v>
      </c>
      <c r="G58" s="4" t="n">
        <v>129621.8</v>
      </c>
      <c r="H58" s="4" t="n">
        <v>123978.4</v>
      </c>
      <c r="I58" s="5" t="n">
        <v>8750003.67</v>
      </c>
      <c r="J58" s="5" t="n">
        <v>2639427.12</v>
      </c>
      <c r="K58" s="4" t="n">
        <v>74952.59</v>
      </c>
      <c r="L58" s="4" t="n">
        <v>1076752.01821536</v>
      </c>
    </row>
    <row r="59" customFormat="false" ht="15" hidden="false" customHeight="false" outlineLevel="0" collapsed="false">
      <c r="A59" s="4" t="s">
        <v>42</v>
      </c>
      <c r="B59" s="11" t="n">
        <v>45200</v>
      </c>
      <c r="C59" s="5" t="n">
        <v>133985.2767802</v>
      </c>
      <c r="D59" s="4" t="n">
        <v>136679.7</v>
      </c>
      <c r="E59" s="4" t="n">
        <v>148284.2</v>
      </c>
      <c r="F59" s="4" t="n">
        <v>14298.9232198</v>
      </c>
      <c r="G59" s="4" t="n">
        <v>132667.8</v>
      </c>
      <c r="H59" s="4" t="n">
        <v>126531.8</v>
      </c>
      <c r="I59" s="5" t="n">
        <v>10220014.33</v>
      </c>
      <c r="J59" s="5" t="n">
        <v>2721447.39</v>
      </c>
      <c r="K59" s="4" t="n">
        <v>53951.68</v>
      </c>
      <c r="L59" s="4" t="n">
        <v>1061772.23892465</v>
      </c>
    </row>
    <row r="60" customFormat="false" ht="15" hidden="false" customHeight="false" outlineLevel="0" collapsed="false">
      <c r="A60" s="4" t="s">
        <v>42</v>
      </c>
      <c r="B60" s="11" t="n">
        <v>45231</v>
      </c>
      <c r="C60" s="5" t="n">
        <v>115186.5019757</v>
      </c>
      <c r="D60" s="4" t="n">
        <v>117835.8</v>
      </c>
      <c r="E60" s="4" t="n">
        <v>143197.9</v>
      </c>
      <c r="F60" s="4" t="n">
        <v>28011.3980243</v>
      </c>
      <c r="G60" s="4" t="n">
        <v>113443.4</v>
      </c>
      <c r="H60" s="4" t="n">
        <v>108595</v>
      </c>
      <c r="I60" s="5" t="n">
        <v>7952514.73</v>
      </c>
      <c r="J60" s="5" t="n">
        <v>2614275.8</v>
      </c>
      <c r="K60" s="4" t="n">
        <v>179541.55</v>
      </c>
      <c r="L60" s="4" t="n">
        <v>1885504.1395468</v>
      </c>
    </row>
    <row r="61" customFormat="false" ht="15" hidden="false" customHeight="false" outlineLevel="0" collapsed="false">
      <c r="A61" s="4" t="s">
        <v>42</v>
      </c>
      <c r="B61" s="11" t="n">
        <v>45261</v>
      </c>
      <c r="C61" s="5" t="n">
        <v>129304.3108265</v>
      </c>
      <c r="D61" s="4" t="n">
        <v>132363.2</v>
      </c>
      <c r="E61" s="4" t="n">
        <v>142175.3</v>
      </c>
      <c r="F61" s="4" t="n">
        <v>12871</v>
      </c>
      <c r="G61" s="4" t="n">
        <v>128137.9</v>
      </c>
      <c r="H61" s="4" t="n">
        <v>122533.4</v>
      </c>
      <c r="I61" s="5" t="n">
        <v>8824152.21</v>
      </c>
      <c r="J61" s="5" t="n">
        <v>2738776.7</v>
      </c>
      <c r="K61" s="4" t="n">
        <v>116507.28</v>
      </c>
      <c r="L61" s="4" t="n">
        <v>853410.686</v>
      </c>
    </row>
    <row r="62" customFormat="false" ht="15" hidden="false" customHeight="false" outlineLevel="0" collapsed="false">
      <c r="A62" s="4" t="s">
        <v>42</v>
      </c>
      <c r="B62" s="11" t="n">
        <v>45292</v>
      </c>
      <c r="C62" s="5" t="n">
        <v>131219.2554001</v>
      </c>
      <c r="D62" s="4" t="n">
        <v>135048.6</v>
      </c>
      <c r="E62" s="4" t="n">
        <v>139099.9</v>
      </c>
      <c r="F62" s="4" t="n">
        <v>7880.6445999</v>
      </c>
      <c r="G62" s="4" t="n">
        <v>129288.6</v>
      </c>
      <c r="H62" s="4" t="n">
        <v>124380.1</v>
      </c>
      <c r="I62" s="5" t="n">
        <v>9336437.68</v>
      </c>
      <c r="J62" s="5" t="n">
        <v>2674973.72</v>
      </c>
      <c r="K62" s="4" t="n">
        <v>40135.03</v>
      </c>
      <c r="L62" s="4" t="n">
        <v>544277.287647246</v>
      </c>
    </row>
    <row r="63" customFormat="false" ht="15" hidden="false" customHeight="false" outlineLevel="0" collapsed="false">
      <c r="A63" s="4" t="s">
        <v>42</v>
      </c>
      <c r="B63" s="11" t="n">
        <v>45323</v>
      </c>
      <c r="C63" s="5" t="n">
        <v>114813.3</v>
      </c>
      <c r="D63" s="4" t="n">
        <v>118928.1</v>
      </c>
      <c r="E63" s="4" t="n">
        <v>126203.4</v>
      </c>
      <c r="F63" s="4" t="n">
        <v>11390.1</v>
      </c>
      <c r="G63" s="4" t="n">
        <v>113401.1</v>
      </c>
      <c r="H63" s="4" t="n">
        <v>109685.9</v>
      </c>
      <c r="I63" s="5" t="n">
        <v>8451643.84</v>
      </c>
      <c r="J63" s="5" t="n">
        <v>2442369.59</v>
      </c>
      <c r="K63" s="4" t="n">
        <v>37354.47</v>
      </c>
      <c r="L63" s="4" t="n">
        <v>812764.237</v>
      </c>
    </row>
    <row r="64" customFormat="false" ht="15" hidden="false" customHeight="false" outlineLevel="0" collapsed="false">
      <c r="A64" s="4" t="s">
        <v>42</v>
      </c>
      <c r="B64" s="11" t="n">
        <v>45352</v>
      </c>
      <c r="C64" s="5" t="n">
        <v>118685.2</v>
      </c>
      <c r="D64" s="4" t="n">
        <v>123625.6</v>
      </c>
      <c r="E64" s="4" t="n">
        <v>131975.9</v>
      </c>
      <c r="F64" s="4" t="n">
        <v>13290.7</v>
      </c>
      <c r="G64" s="4" t="n">
        <v>117051.2</v>
      </c>
      <c r="H64" s="4" t="n">
        <v>113785.5</v>
      </c>
      <c r="I64" s="5" t="n">
        <v>8773372.83</v>
      </c>
      <c r="J64" s="5" t="n">
        <v>2648817.17</v>
      </c>
      <c r="K64" s="4" t="n">
        <v>98182.06</v>
      </c>
      <c r="L64" s="4" t="n">
        <v>950363.001</v>
      </c>
    </row>
    <row r="65" customFormat="false" ht="15" hidden="false" customHeight="false" outlineLevel="0" collapsed="false">
      <c r="A65" s="4" t="s">
        <v>42</v>
      </c>
      <c r="B65" s="11" t="n">
        <v>45383</v>
      </c>
      <c r="C65" s="5" t="n">
        <v>113803.4820205</v>
      </c>
      <c r="D65" s="4" t="n">
        <v>118188.4</v>
      </c>
      <c r="E65" s="4" t="n">
        <v>126486.5</v>
      </c>
      <c r="F65" s="4" t="n">
        <v>12683.0179795</v>
      </c>
      <c r="G65" s="4" t="n">
        <v>112013.1</v>
      </c>
      <c r="H65" s="4" t="n">
        <v>108726.7</v>
      </c>
      <c r="I65" s="5" t="n">
        <v>8364957.26</v>
      </c>
      <c r="J65" s="5" t="n">
        <v>2540437.78</v>
      </c>
      <c r="K65" s="4" t="n">
        <v>77344.33</v>
      </c>
      <c r="L65" s="4" t="n">
        <v>910252.47261302</v>
      </c>
    </row>
    <row r="66" customFormat="false" ht="15" hidden="false" customHeight="false" outlineLevel="0" collapsed="false">
      <c r="A66" s="4" t="s">
        <v>42</v>
      </c>
      <c r="B66" s="11" t="n">
        <v>45413</v>
      </c>
      <c r="C66" s="5" t="n">
        <v>116277.5973973</v>
      </c>
      <c r="D66" s="4" t="n">
        <v>120495.4</v>
      </c>
      <c r="E66" s="4" t="n">
        <v>127618.4</v>
      </c>
      <c r="F66" s="4" t="n">
        <v>11340.8026027</v>
      </c>
      <c r="G66" s="4" t="n">
        <v>114593.4</v>
      </c>
      <c r="H66" s="4" t="n">
        <v>110738.1</v>
      </c>
      <c r="I66" s="5" t="n">
        <v>8427996.28</v>
      </c>
      <c r="J66" s="5" t="n">
        <v>2614827.15</v>
      </c>
      <c r="K66" s="4" t="n">
        <v>118296.96</v>
      </c>
      <c r="L66" s="4" t="n">
        <v>796802.245527351</v>
      </c>
    </row>
    <row r="67" customFormat="false" ht="15" hidden="false" customHeight="false" outlineLevel="0" collapsed="false">
      <c r="A67" s="4" t="s">
        <v>42</v>
      </c>
      <c r="B67" s="11" t="n">
        <v>45444</v>
      </c>
      <c r="C67" s="5" t="n">
        <v>113577.920069</v>
      </c>
      <c r="D67" s="4" t="n">
        <v>118216.6</v>
      </c>
      <c r="E67" s="4" t="n">
        <v>120034.9</v>
      </c>
      <c r="F67" s="4" t="n">
        <v>6456.979931</v>
      </c>
      <c r="G67" s="4" t="n">
        <v>111881.2</v>
      </c>
      <c r="H67" s="4" t="n">
        <v>108790.2</v>
      </c>
      <c r="I67" s="5" t="n">
        <v>7464966.34</v>
      </c>
      <c r="J67" s="5" t="n">
        <v>2485748.02</v>
      </c>
      <c r="K67" s="4" t="n">
        <v>31152.48</v>
      </c>
      <c r="L67" s="4" t="n">
        <v>409103.29924127</v>
      </c>
    </row>
    <row r="68" customFormat="false" ht="15" hidden="false" customHeight="false" outlineLevel="0" collapsed="false">
      <c r="A68" s="4" t="s">
        <v>42</v>
      </c>
      <c r="B68" s="11" t="n">
        <v>45474</v>
      </c>
      <c r="C68" s="5" t="n">
        <v>89106.8037125</v>
      </c>
      <c r="D68" s="4" t="n">
        <v>92742.8</v>
      </c>
      <c r="E68" s="4" t="n">
        <v>121034.8</v>
      </c>
      <c r="F68" s="4" t="n">
        <v>31927.9962875</v>
      </c>
      <c r="G68" s="4" t="n">
        <v>87826.3</v>
      </c>
      <c r="H68" s="4" t="n">
        <v>85369.7</v>
      </c>
      <c r="I68" s="5" t="n">
        <v>6093725.77</v>
      </c>
      <c r="J68" s="5" t="n">
        <v>2381766.82</v>
      </c>
      <c r="K68" s="4" t="n">
        <v>112323.33</v>
      </c>
      <c r="L68" s="4" t="n">
        <v>2125454.73997025</v>
      </c>
    </row>
    <row r="69" customFormat="false" ht="15" hidden="false" customHeight="false" outlineLevel="0" collapsed="false">
      <c r="A69" s="4" t="s">
        <v>42</v>
      </c>
      <c r="B69" s="11" t="n">
        <v>45505</v>
      </c>
      <c r="C69" s="5" t="n">
        <v>112282.7944351</v>
      </c>
      <c r="D69" s="4" t="n">
        <v>118702.5</v>
      </c>
      <c r="E69" s="4" t="n">
        <v>118486.8</v>
      </c>
      <c r="F69" s="4" t="n">
        <v>6204.0249983</v>
      </c>
      <c r="G69" s="4" t="n">
        <v>110629.5</v>
      </c>
      <c r="H69" s="4" t="n">
        <v>109150.3</v>
      </c>
      <c r="I69" s="5" t="n">
        <v>7847311.78</v>
      </c>
      <c r="J69" s="5" t="n">
        <v>2520337.03</v>
      </c>
      <c r="K69" s="4" t="n">
        <v>61726.68</v>
      </c>
      <c r="L69" s="4" t="n">
        <v>422906.880134655</v>
      </c>
    </row>
    <row r="70" customFormat="false" ht="15" hidden="false" customHeight="false" outlineLevel="0" collapsed="false">
      <c r="A70" s="4" t="s">
        <v>42</v>
      </c>
      <c r="B70" s="11" t="n">
        <v>45536</v>
      </c>
      <c r="C70" s="5" t="n">
        <v>102720.8148151</v>
      </c>
      <c r="D70" s="4" t="n">
        <v>108564.3</v>
      </c>
      <c r="E70" s="4" t="n">
        <v>111853.7</v>
      </c>
      <c r="F70" s="4" t="n">
        <v>9132.8851849</v>
      </c>
      <c r="G70" s="4" t="n">
        <v>101273.8</v>
      </c>
      <c r="H70" s="4" t="n">
        <v>100013.5</v>
      </c>
      <c r="I70" s="5" t="n">
        <v>7412016.72</v>
      </c>
      <c r="J70" s="5" t="n">
        <v>2408306.53</v>
      </c>
      <c r="K70" s="4" t="n">
        <v>60536.92</v>
      </c>
      <c r="L70" s="4" t="n">
        <v>643161.464646544</v>
      </c>
    </row>
    <row r="71" customFormat="false" ht="15" hidden="false" customHeight="false" outlineLevel="0" collapsed="false">
      <c r="A71" s="4" t="s">
        <v>42</v>
      </c>
      <c r="B71" s="11" t="n">
        <v>45566</v>
      </c>
      <c r="C71" s="5" t="n">
        <v>101529.5812362</v>
      </c>
      <c r="D71" s="4" t="n">
        <v>107475.2</v>
      </c>
      <c r="E71" s="4" t="n">
        <v>112486.3</v>
      </c>
      <c r="F71" s="4" t="n">
        <v>10956.7187638</v>
      </c>
      <c r="G71" s="4" t="n">
        <v>99950.5</v>
      </c>
      <c r="H71" s="4" t="n">
        <v>98923.7</v>
      </c>
      <c r="I71" s="5" t="n">
        <v>7826412.71</v>
      </c>
      <c r="J71" s="5" t="n">
        <v>2465310.76</v>
      </c>
      <c r="K71" s="4" t="n">
        <v>63582.89</v>
      </c>
      <c r="L71" s="4" t="n">
        <v>825092.551479262</v>
      </c>
    </row>
    <row r="72" customFormat="false" ht="15" hidden="false" customHeight="false" outlineLevel="0" collapsed="false">
      <c r="A72" s="4" t="s">
        <v>42</v>
      </c>
      <c r="B72" s="11" t="n">
        <v>45597</v>
      </c>
      <c r="C72" s="5" t="n">
        <v>98511.5126041</v>
      </c>
      <c r="D72" s="4" t="n">
        <v>105633.1</v>
      </c>
      <c r="E72" s="4" t="n">
        <v>106719.3</v>
      </c>
      <c r="F72" s="4" t="n">
        <v>8207.7873959</v>
      </c>
      <c r="G72" s="4" t="n">
        <v>96965.8</v>
      </c>
      <c r="H72" s="4" t="n">
        <v>97286.4</v>
      </c>
      <c r="I72" s="5" t="n">
        <v>7945735.2</v>
      </c>
      <c r="J72" s="5" t="n">
        <v>2346396.22</v>
      </c>
      <c r="K72" s="4" t="n">
        <v>40715.35</v>
      </c>
      <c r="L72" s="4" t="n">
        <v>651376.493830232</v>
      </c>
    </row>
    <row r="73" customFormat="false" ht="15" hidden="false" customHeight="false" outlineLevel="0" collapsed="false">
      <c r="A73" s="4" t="s">
        <v>42</v>
      </c>
      <c r="B73" s="11" t="n">
        <v>45627</v>
      </c>
      <c r="C73" s="5" t="n">
        <v>100697.2492064</v>
      </c>
      <c r="D73" s="4" t="n">
        <v>107382.5</v>
      </c>
      <c r="E73" s="4" t="n">
        <v>108140.1</v>
      </c>
      <c r="F73" s="4" t="n">
        <v>7442.8507936</v>
      </c>
      <c r="G73" s="4" t="n">
        <v>99059</v>
      </c>
      <c r="H73" s="4" t="n">
        <v>98841.6</v>
      </c>
      <c r="I73" s="5" t="n">
        <v>7426830.92</v>
      </c>
      <c r="J73" s="5" t="n">
        <v>2461530.69</v>
      </c>
      <c r="K73" s="4" t="n">
        <v>75955.77</v>
      </c>
      <c r="L73" s="4" t="n">
        <v>531596.708899459</v>
      </c>
    </row>
    <row r="74" customFormat="false" ht="15" hidden="false" customHeight="false" outlineLevel="0" collapsed="false">
      <c r="A74" s="4" t="s">
        <v>43</v>
      </c>
      <c r="B74" s="11" t="n">
        <v>44562</v>
      </c>
      <c r="C74" s="5" t="n">
        <v>14142.7</v>
      </c>
      <c r="D74" s="4" t="n">
        <v>21744.3</v>
      </c>
      <c r="E74" s="4" t="n">
        <v>15002.8</v>
      </c>
      <c r="F74" s="4" t="n">
        <v>860.1</v>
      </c>
      <c r="G74" s="4" t="n">
        <v>13953.4</v>
      </c>
      <c r="H74" s="4" t="n">
        <v>20024.7</v>
      </c>
      <c r="I74" s="5" t="n">
        <v>946043.04</v>
      </c>
      <c r="J74" s="5" t="n">
        <v>1100660.35</v>
      </c>
      <c r="K74" s="4" t="n">
        <v>56990.83</v>
      </c>
      <c r="L74" s="4" t="n">
        <v>54590.174</v>
      </c>
    </row>
    <row r="75" customFormat="false" ht="15" hidden="false" customHeight="false" outlineLevel="0" collapsed="false">
      <c r="A75" s="4" t="s">
        <v>43</v>
      </c>
      <c r="B75" s="11" t="n">
        <v>44593</v>
      </c>
      <c r="C75" s="5" t="n">
        <v>12370.1063832</v>
      </c>
      <c r="D75" s="4" t="n">
        <v>18982.3</v>
      </c>
      <c r="E75" s="4" t="n">
        <v>13372.2</v>
      </c>
      <c r="F75" s="4" t="n">
        <v>1002.0936168</v>
      </c>
      <c r="G75" s="4" t="n">
        <v>12178.6</v>
      </c>
      <c r="H75" s="4" t="n">
        <v>17456.2</v>
      </c>
      <c r="I75" s="5" t="n">
        <v>818999.8</v>
      </c>
      <c r="J75" s="5" t="n">
        <v>993340.83</v>
      </c>
      <c r="K75" s="4" t="n">
        <v>39078.82</v>
      </c>
      <c r="L75" s="4" t="n">
        <v>61791.722348056</v>
      </c>
    </row>
    <row r="76" customFormat="false" ht="15" hidden="false" customHeight="false" outlineLevel="0" collapsed="false">
      <c r="A76" s="4" t="s">
        <v>43</v>
      </c>
      <c r="B76" s="11" t="n">
        <v>44621</v>
      </c>
      <c r="C76" s="5" t="n">
        <v>13701.496511</v>
      </c>
      <c r="D76" s="4" t="n">
        <v>21411.8</v>
      </c>
      <c r="E76" s="4" t="n">
        <v>14624.9</v>
      </c>
      <c r="F76" s="4" t="n">
        <v>923.403489</v>
      </c>
      <c r="G76" s="4" t="n">
        <v>13498.2</v>
      </c>
      <c r="H76" s="4" t="n">
        <v>19663.9</v>
      </c>
      <c r="I76" s="5" t="n">
        <v>928589.65</v>
      </c>
      <c r="J76" s="5" t="n">
        <v>1100465.34</v>
      </c>
      <c r="K76" s="4" t="n">
        <v>43902.62</v>
      </c>
      <c r="L76" s="4" t="n">
        <v>57974.87421387</v>
      </c>
    </row>
    <row r="77" customFormat="false" ht="15" hidden="false" customHeight="false" outlineLevel="0" collapsed="false">
      <c r="A77" s="4" t="s">
        <v>43</v>
      </c>
      <c r="B77" s="11" t="n">
        <v>44652</v>
      </c>
      <c r="C77" s="5" t="n">
        <v>12978.7</v>
      </c>
      <c r="D77" s="4" t="n">
        <v>20222.7</v>
      </c>
      <c r="E77" s="4" t="n">
        <v>14041.3</v>
      </c>
      <c r="F77" s="4" t="n">
        <v>1062.6</v>
      </c>
      <c r="G77" s="4" t="n">
        <v>12782.1</v>
      </c>
      <c r="H77" s="4" t="n">
        <v>18632.4</v>
      </c>
      <c r="I77" s="5" t="n">
        <v>986999.68</v>
      </c>
      <c r="J77" s="5" t="n">
        <v>1093280.05</v>
      </c>
      <c r="K77" s="4" t="n">
        <v>69169.2</v>
      </c>
      <c r="L77" s="4" t="n">
        <v>75946.073</v>
      </c>
    </row>
    <row r="78" customFormat="false" ht="15" hidden="false" customHeight="false" outlineLevel="0" collapsed="false">
      <c r="A78" s="4" t="s">
        <v>43</v>
      </c>
      <c r="B78" s="11" t="n">
        <v>44682</v>
      </c>
      <c r="C78" s="5" t="n">
        <v>13184.6199135</v>
      </c>
      <c r="D78" s="4" t="n">
        <v>20671.8</v>
      </c>
      <c r="E78" s="4" t="n">
        <v>14342.7</v>
      </c>
      <c r="F78" s="4" t="n">
        <v>1158.0800865</v>
      </c>
      <c r="G78" s="4" t="n">
        <v>13001</v>
      </c>
      <c r="H78" s="4" t="n">
        <v>19031.3</v>
      </c>
      <c r="I78" s="5" t="n">
        <v>1061080.99</v>
      </c>
      <c r="J78" s="5" t="n">
        <v>1129298.88</v>
      </c>
      <c r="K78" s="4" t="n">
        <v>54575.14</v>
      </c>
      <c r="L78" s="4" t="n">
        <v>90138.88038333</v>
      </c>
    </row>
    <row r="79" customFormat="false" ht="15" hidden="false" customHeight="false" outlineLevel="0" collapsed="false">
      <c r="A79" s="4" t="s">
        <v>43</v>
      </c>
      <c r="B79" s="11" t="n">
        <v>44713</v>
      </c>
      <c r="C79" s="5" t="n">
        <v>18048.093644</v>
      </c>
      <c r="D79" s="4" t="n">
        <v>27942.9</v>
      </c>
      <c r="E79" s="4" t="n">
        <v>19519.3</v>
      </c>
      <c r="F79" s="4" t="n">
        <v>1471.206356</v>
      </c>
      <c r="G79" s="4" t="n">
        <v>17768.3</v>
      </c>
      <c r="H79" s="4" t="n">
        <v>25698.2</v>
      </c>
      <c r="I79" s="5" t="n">
        <v>1337076.76</v>
      </c>
      <c r="J79" s="5" t="n">
        <v>1140985.21</v>
      </c>
      <c r="K79" s="4" t="n">
        <v>68737.04</v>
      </c>
      <c r="L79" s="4" t="n">
        <v>103680.37375056</v>
      </c>
    </row>
    <row r="80" customFormat="false" ht="15" hidden="false" customHeight="false" outlineLevel="0" collapsed="false">
      <c r="A80" s="4" t="s">
        <v>43</v>
      </c>
      <c r="B80" s="11" t="n">
        <v>44743</v>
      </c>
      <c r="C80" s="5" t="n">
        <v>28939.5</v>
      </c>
      <c r="D80" s="4" t="n">
        <v>44358</v>
      </c>
      <c r="E80" s="4" t="n">
        <v>31751.8</v>
      </c>
      <c r="F80" s="4" t="n">
        <v>2812.3</v>
      </c>
      <c r="G80" s="4" t="n">
        <v>28552.3</v>
      </c>
      <c r="H80" s="4" t="n">
        <v>40774.8</v>
      </c>
      <c r="I80" s="5" t="n">
        <v>2421267.14</v>
      </c>
      <c r="J80" s="5" t="n">
        <v>1312007.68</v>
      </c>
      <c r="K80" s="4" t="n">
        <v>66197.16</v>
      </c>
      <c r="L80" s="4" t="n">
        <v>222530.689</v>
      </c>
    </row>
    <row r="81" customFormat="false" ht="15" hidden="false" customHeight="false" outlineLevel="0" collapsed="false">
      <c r="A81" s="4" t="s">
        <v>43</v>
      </c>
      <c r="B81" s="11" t="n">
        <v>44774</v>
      </c>
      <c r="C81" s="5" t="n">
        <v>27424.2939754</v>
      </c>
      <c r="D81" s="4" t="n">
        <v>41669.1</v>
      </c>
      <c r="E81" s="4" t="n">
        <v>30872.8</v>
      </c>
      <c r="F81" s="4" t="n">
        <v>3448.5060246</v>
      </c>
      <c r="G81" s="4" t="n">
        <v>27031.5</v>
      </c>
      <c r="H81" s="4" t="n">
        <v>38407.9</v>
      </c>
      <c r="I81" s="5" t="n">
        <v>2093864.73</v>
      </c>
      <c r="J81" s="5" t="n">
        <v>1372668.94</v>
      </c>
      <c r="K81" s="4" t="n">
        <v>151799.44</v>
      </c>
      <c r="L81" s="4" t="n">
        <v>248514.526611308</v>
      </c>
    </row>
    <row r="82" customFormat="false" ht="15" hidden="false" customHeight="false" outlineLevel="0" collapsed="false">
      <c r="A82" s="4" t="s">
        <v>43</v>
      </c>
      <c r="B82" s="11" t="n">
        <v>44805</v>
      </c>
      <c r="C82" s="5" t="n">
        <v>26023.8713436</v>
      </c>
      <c r="D82" s="4" t="n">
        <v>39815.6</v>
      </c>
      <c r="E82" s="4" t="n">
        <v>29419.6</v>
      </c>
      <c r="F82" s="4" t="n">
        <v>3395.7286564</v>
      </c>
      <c r="G82" s="4" t="n">
        <v>25628</v>
      </c>
      <c r="H82" s="4" t="n">
        <v>36671.6</v>
      </c>
      <c r="I82" s="5" t="n">
        <v>1873679.29</v>
      </c>
      <c r="J82" s="5" t="n">
        <v>1214208.04</v>
      </c>
      <c r="K82" s="4" t="n">
        <v>49802.47</v>
      </c>
      <c r="L82" s="4" t="n">
        <v>229113.647208328</v>
      </c>
    </row>
    <row r="83" customFormat="false" ht="15" hidden="false" customHeight="false" outlineLevel="0" collapsed="false">
      <c r="A83" s="4" t="s">
        <v>43</v>
      </c>
      <c r="B83" s="11" t="n">
        <v>44835</v>
      </c>
      <c r="C83" s="5" t="n">
        <v>41189.7</v>
      </c>
      <c r="D83" s="4" t="n">
        <v>53270.8</v>
      </c>
      <c r="E83" s="4" t="n">
        <v>44322.2</v>
      </c>
      <c r="F83" s="4" t="n">
        <v>3132.5</v>
      </c>
      <c r="G83" s="4" t="n">
        <v>40536</v>
      </c>
      <c r="H83" s="4" t="n">
        <v>48996.2</v>
      </c>
      <c r="I83" s="5" t="n">
        <v>2826940.35</v>
      </c>
      <c r="J83" s="5" t="n">
        <v>1449755.57</v>
      </c>
      <c r="K83" s="4" t="n">
        <v>19268.82</v>
      </c>
      <c r="L83" s="4" t="n">
        <v>203964.744</v>
      </c>
    </row>
    <row r="84" customFormat="false" ht="15" hidden="false" customHeight="false" outlineLevel="0" collapsed="false">
      <c r="A84" s="4" t="s">
        <v>43</v>
      </c>
      <c r="B84" s="11" t="n">
        <v>44866</v>
      </c>
      <c r="C84" s="5" t="n">
        <v>51505.9903785</v>
      </c>
      <c r="D84" s="4" t="n">
        <v>59006.3</v>
      </c>
      <c r="E84" s="4" t="n">
        <v>56180.5</v>
      </c>
      <c r="F84" s="4" t="n">
        <v>4674.5096215</v>
      </c>
      <c r="G84" s="4" t="n">
        <v>50782.1</v>
      </c>
      <c r="H84" s="4" t="n">
        <v>54387.3</v>
      </c>
      <c r="I84" s="5" t="n">
        <v>3969342.66</v>
      </c>
      <c r="J84" s="5" t="n">
        <v>1528318.27</v>
      </c>
      <c r="K84" s="4" t="n">
        <v>27803.88</v>
      </c>
      <c r="L84" s="4" t="n">
        <v>346232.794123076</v>
      </c>
    </row>
    <row r="85" customFormat="false" ht="15" hidden="false" customHeight="false" outlineLevel="0" collapsed="false">
      <c r="A85" s="4" t="s">
        <v>43</v>
      </c>
      <c r="B85" s="11" t="n">
        <v>44896</v>
      </c>
      <c r="C85" s="5" t="n">
        <v>80673.7047874</v>
      </c>
      <c r="D85" s="4" t="n">
        <v>81304.8</v>
      </c>
      <c r="E85" s="4" t="n">
        <v>87244.4</v>
      </c>
      <c r="F85" s="4" t="n">
        <v>6570.6952126</v>
      </c>
      <c r="G85" s="4" t="n">
        <v>79507.6</v>
      </c>
      <c r="H85" s="4" t="n">
        <v>74880.1</v>
      </c>
      <c r="I85" s="5" t="n">
        <v>6091576.77</v>
      </c>
      <c r="J85" s="5" t="n">
        <v>1915353.27</v>
      </c>
      <c r="K85" s="4" t="n">
        <v>52986.3</v>
      </c>
      <c r="L85" s="4" t="n">
        <v>477975.504722004</v>
      </c>
    </row>
    <row r="86" customFormat="false" ht="15" hidden="false" customHeight="false" outlineLevel="0" collapsed="false">
      <c r="A86" s="4" t="s">
        <v>43</v>
      </c>
      <c r="B86" s="11" t="n">
        <v>44927</v>
      </c>
      <c r="C86" s="5" t="n">
        <v>90822.8954497</v>
      </c>
      <c r="D86" s="4" t="n">
        <v>94875.8</v>
      </c>
      <c r="E86" s="4" t="n">
        <v>99814.9</v>
      </c>
      <c r="F86" s="4" t="n">
        <v>8992.0045503</v>
      </c>
      <c r="G86" s="4" t="n">
        <v>89280.4</v>
      </c>
      <c r="H86" s="4" t="n">
        <v>87391.9</v>
      </c>
      <c r="I86" s="5" t="n">
        <v>6790198.83</v>
      </c>
      <c r="J86" s="5" t="n">
        <v>2052478.42</v>
      </c>
      <c r="K86" s="4" t="n">
        <v>46752.12</v>
      </c>
      <c r="L86" s="4" t="n">
        <v>644421.4376216</v>
      </c>
    </row>
    <row r="87" customFormat="false" ht="15" hidden="false" customHeight="false" outlineLevel="0" collapsed="false">
      <c r="A87" s="4" t="s">
        <v>43</v>
      </c>
      <c r="B87" s="11" t="n">
        <v>44958</v>
      </c>
      <c r="C87" s="5" t="n">
        <v>84564.2511327</v>
      </c>
      <c r="D87" s="4" t="n">
        <v>89308.2</v>
      </c>
      <c r="E87" s="4" t="n">
        <v>96741.5</v>
      </c>
      <c r="F87" s="4" t="n">
        <v>12177.2769017</v>
      </c>
      <c r="G87" s="4" t="n">
        <v>83375.4</v>
      </c>
      <c r="H87" s="4" t="n">
        <v>82173.1</v>
      </c>
      <c r="I87" s="5" t="n">
        <v>6112051.23</v>
      </c>
      <c r="J87" s="5" t="n">
        <v>1928619.13</v>
      </c>
      <c r="K87" s="4" t="n">
        <v>86948.5</v>
      </c>
      <c r="L87" s="4" t="n">
        <v>845063.763760892</v>
      </c>
    </row>
    <row r="88" customFormat="false" ht="15" hidden="false" customHeight="false" outlineLevel="0" collapsed="false">
      <c r="A88" s="4" t="s">
        <v>43</v>
      </c>
      <c r="B88" s="11" t="n">
        <v>44986</v>
      </c>
      <c r="C88" s="5" t="n">
        <v>95968.5</v>
      </c>
      <c r="D88" s="4" t="n">
        <v>103671.2</v>
      </c>
      <c r="E88" s="4" t="n">
        <v>103785.1</v>
      </c>
      <c r="F88" s="4" t="n">
        <v>7816.6</v>
      </c>
      <c r="G88" s="4" t="n">
        <v>94549.7</v>
      </c>
      <c r="H88" s="4" t="n">
        <v>95297.7</v>
      </c>
      <c r="I88" s="5" t="n">
        <v>6181894.58</v>
      </c>
      <c r="J88" s="5" t="n">
        <v>2174001.12</v>
      </c>
      <c r="K88" s="4" t="n">
        <v>104761.66</v>
      </c>
      <c r="L88" s="4" t="n">
        <v>481964.624</v>
      </c>
    </row>
    <row r="89" customFormat="false" ht="15" hidden="false" customHeight="false" outlineLevel="0" collapsed="false">
      <c r="A89" s="4" t="s">
        <v>43</v>
      </c>
      <c r="B89" s="11" t="n">
        <v>45017</v>
      </c>
      <c r="C89" s="5" t="n">
        <v>93221.8</v>
      </c>
      <c r="D89" s="4" t="n">
        <v>101237.2</v>
      </c>
      <c r="E89" s="4" t="n">
        <v>97937.4</v>
      </c>
      <c r="F89" s="4" t="n">
        <v>4715.6</v>
      </c>
      <c r="G89" s="4" t="n">
        <v>91800.7</v>
      </c>
      <c r="H89" s="4" t="n">
        <v>93243.3</v>
      </c>
      <c r="I89" s="5" t="n">
        <v>5927590.33</v>
      </c>
      <c r="J89" s="5" t="n">
        <v>2016241.53</v>
      </c>
      <c r="K89" s="4" t="n">
        <v>4677.18</v>
      </c>
      <c r="L89" s="4" t="n">
        <v>284847.48</v>
      </c>
    </row>
    <row r="90" customFormat="false" ht="15" hidden="false" customHeight="false" outlineLevel="0" collapsed="false">
      <c r="A90" s="4" t="s">
        <v>43</v>
      </c>
      <c r="B90" s="11" t="n">
        <v>45047</v>
      </c>
      <c r="C90" s="5" t="n">
        <v>92923.0652451</v>
      </c>
      <c r="D90" s="4" t="n">
        <v>101073.6</v>
      </c>
      <c r="E90" s="4" t="n">
        <v>97769.1</v>
      </c>
      <c r="F90" s="4" t="n">
        <v>4846.0347549</v>
      </c>
      <c r="G90" s="4" t="n">
        <v>91567.8</v>
      </c>
      <c r="H90" s="4" t="n">
        <v>93028</v>
      </c>
      <c r="I90" s="5" t="n">
        <v>5766337.98</v>
      </c>
      <c r="J90" s="5" t="n">
        <v>2093140.07</v>
      </c>
      <c r="K90" s="4" t="n">
        <v>64780.28</v>
      </c>
      <c r="L90" s="4" t="n">
        <v>289108.229234092</v>
      </c>
    </row>
    <row r="91" customFormat="false" ht="15" hidden="false" customHeight="false" outlineLevel="0" collapsed="false">
      <c r="A91" s="4" t="s">
        <v>43</v>
      </c>
      <c r="B91" s="11" t="n">
        <v>45078</v>
      </c>
      <c r="C91" s="5" t="n">
        <v>75496.214092</v>
      </c>
      <c r="D91" s="4" t="n">
        <v>82721.9</v>
      </c>
      <c r="E91" s="4" t="n">
        <v>91233.4</v>
      </c>
      <c r="F91" s="4" t="n">
        <v>15737.185908</v>
      </c>
      <c r="G91" s="4" t="n">
        <v>75041.2</v>
      </c>
      <c r="H91" s="4" t="n">
        <v>76405.8</v>
      </c>
      <c r="I91" s="5" t="n">
        <v>4813548.72</v>
      </c>
      <c r="J91" s="5" t="n">
        <v>1979659.34</v>
      </c>
      <c r="K91" s="4" t="n">
        <v>117403.66</v>
      </c>
      <c r="L91" s="4" t="n">
        <v>957100.9654894</v>
      </c>
    </row>
    <row r="92" customFormat="false" ht="15" hidden="false" customHeight="false" outlineLevel="0" collapsed="false">
      <c r="A92" s="4" t="s">
        <v>43</v>
      </c>
      <c r="B92" s="11" t="n">
        <v>45108</v>
      </c>
      <c r="C92" s="5" t="n">
        <v>82404.7762797</v>
      </c>
      <c r="D92" s="4" t="n">
        <v>90206.7</v>
      </c>
      <c r="E92" s="4" t="n">
        <v>92361.9</v>
      </c>
      <c r="F92" s="4" t="n">
        <v>9957.1237203</v>
      </c>
      <c r="G92" s="4" t="n">
        <v>81208.8</v>
      </c>
      <c r="H92" s="4" t="n">
        <v>82996.1</v>
      </c>
      <c r="I92" s="5" t="n">
        <v>5255569.96</v>
      </c>
      <c r="J92" s="5" t="n">
        <v>2026199.86</v>
      </c>
      <c r="K92" s="4" t="n">
        <v>95860.68</v>
      </c>
      <c r="L92" s="4" t="n">
        <v>613441.187882089</v>
      </c>
    </row>
    <row r="93" customFormat="false" ht="15" hidden="false" customHeight="false" outlineLevel="0" collapsed="false">
      <c r="A93" s="4" t="s">
        <v>43</v>
      </c>
      <c r="B93" s="11" t="n">
        <v>45139</v>
      </c>
      <c r="C93" s="5" t="n">
        <v>81186.2730278</v>
      </c>
      <c r="D93" s="4" t="n">
        <v>89339.2</v>
      </c>
      <c r="E93" s="4" t="n">
        <v>89906.3</v>
      </c>
      <c r="F93" s="4" t="n">
        <v>8720.0269722</v>
      </c>
      <c r="G93" s="4" t="n">
        <v>80160.7</v>
      </c>
      <c r="H93" s="4" t="n">
        <v>82335.7</v>
      </c>
      <c r="I93" s="5" t="n">
        <v>5544845.72</v>
      </c>
      <c r="J93" s="5" t="n">
        <v>2025753.36</v>
      </c>
      <c r="K93" s="4" t="n">
        <v>55627.12</v>
      </c>
      <c r="L93" s="4" t="n">
        <v>574620.11407354</v>
      </c>
    </row>
    <row r="94" customFormat="false" ht="15" hidden="false" customHeight="false" outlineLevel="0" collapsed="false">
      <c r="A94" s="4" t="s">
        <v>43</v>
      </c>
      <c r="B94" s="11" t="n">
        <v>45170</v>
      </c>
      <c r="C94" s="5" t="n">
        <v>110907.4583546</v>
      </c>
      <c r="D94" s="4" t="n">
        <v>124494.2</v>
      </c>
      <c r="E94" s="4" t="n">
        <v>122793.7</v>
      </c>
      <c r="F94" s="4" t="n">
        <v>11886.2416454</v>
      </c>
      <c r="G94" s="4" t="n">
        <v>109248.7</v>
      </c>
      <c r="H94" s="4" t="n">
        <v>114605.7</v>
      </c>
      <c r="I94" s="5" t="n">
        <v>6986190.09</v>
      </c>
      <c r="J94" s="5" t="n">
        <v>2296161.34</v>
      </c>
      <c r="K94" s="4" t="n">
        <v>102597.65</v>
      </c>
      <c r="L94" s="4" t="n">
        <v>724568.09532236</v>
      </c>
    </row>
    <row r="95" customFormat="false" ht="15" hidden="false" customHeight="false" outlineLevel="0" collapsed="false">
      <c r="A95" s="4" t="s">
        <v>43</v>
      </c>
      <c r="B95" s="11" t="n">
        <v>45200</v>
      </c>
      <c r="C95" s="5" t="n">
        <v>121002.5213352</v>
      </c>
      <c r="D95" s="4" t="n">
        <v>136890.4</v>
      </c>
      <c r="E95" s="4" t="n">
        <v>130097.2</v>
      </c>
      <c r="F95" s="4" t="n">
        <v>9094.6786648</v>
      </c>
      <c r="G95" s="4" t="n">
        <v>119176.2</v>
      </c>
      <c r="H95" s="4" t="n">
        <v>126035.3</v>
      </c>
      <c r="I95" s="5" t="n">
        <v>8749492.6</v>
      </c>
      <c r="J95" s="5" t="n">
        <v>2401876.6</v>
      </c>
      <c r="K95" s="4" t="n">
        <v>73610.91</v>
      </c>
      <c r="L95" s="4" t="n">
        <v>638593.599262636</v>
      </c>
    </row>
    <row r="96" customFormat="false" ht="15" hidden="false" customHeight="false" outlineLevel="0" collapsed="false">
      <c r="A96" s="4" t="s">
        <v>43</v>
      </c>
      <c r="B96" s="11" t="n">
        <v>45231</v>
      </c>
      <c r="C96" s="5" t="n">
        <v>116159.4670984</v>
      </c>
      <c r="D96" s="4" t="n">
        <v>131007</v>
      </c>
      <c r="E96" s="4" t="n">
        <v>135809.2</v>
      </c>
      <c r="F96" s="4" t="n">
        <v>19649.7329016</v>
      </c>
      <c r="G96" s="4" t="n">
        <v>114892.3</v>
      </c>
      <c r="H96" s="4" t="n">
        <v>121248.9</v>
      </c>
      <c r="I96" s="5" t="n">
        <v>7657940.14</v>
      </c>
      <c r="J96" s="5" t="n">
        <v>2404421.67</v>
      </c>
      <c r="K96" s="4" t="n">
        <v>75694.27</v>
      </c>
      <c r="L96" s="4" t="n">
        <v>1247832.07703401</v>
      </c>
    </row>
    <row r="97" customFormat="false" ht="15" hidden="false" customHeight="false" outlineLevel="0" collapsed="false">
      <c r="A97" s="4" t="s">
        <v>43</v>
      </c>
      <c r="B97" s="11" t="n">
        <v>45261</v>
      </c>
      <c r="C97" s="5" t="n">
        <v>128087.7844618</v>
      </c>
      <c r="D97" s="4" t="n">
        <v>144636.8</v>
      </c>
      <c r="E97" s="4" t="n">
        <v>134904.8</v>
      </c>
      <c r="F97" s="4" t="n">
        <v>6817.0155382</v>
      </c>
      <c r="G97" s="4" t="n">
        <v>126631</v>
      </c>
      <c r="H97" s="4" t="n">
        <v>133480.2</v>
      </c>
      <c r="I97" s="5" t="n">
        <v>8307135.04</v>
      </c>
      <c r="J97" s="5" t="n">
        <v>2513823.64</v>
      </c>
      <c r="K97" s="4" t="n">
        <v>21098.63</v>
      </c>
      <c r="L97" s="4" t="n">
        <v>426064.12802205</v>
      </c>
    </row>
    <row r="98" customFormat="false" ht="15" hidden="false" customHeight="false" outlineLevel="0" collapsed="false">
      <c r="A98" s="4" t="s">
        <v>43</v>
      </c>
      <c r="B98" s="11" t="n">
        <v>45292</v>
      </c>
      <c r="C98" s="5" t="n">
        <v>116635.9250051</v>
      </c>
      <c r="D98" s="4" t="n">
        <v>132863.1</v>
      </c>
      <c r="E98" s="4" t="n">
        <v>129752.7</v>
      </c>
      <c r="F98" s="4" t="n">
        <v>13116.7749949</v>
      </c>
      <c r="G98" s="4" t="n">
        <v>116060.9</v>
      </c>
      <c r="H98" s="4" t="n">
        <v>123592.2</v>
      </c>
      <c r="I98" s="5" t="n">
        <v>7969043.11</v>
      </c>
      <c r="J98" s="5" t="n">
        <v>2490932.03</v>
      </c>
      <c r="K98" s="4" t="n">
        <v>88166.19</v>
      </c>
      <c r="L98" s="4" t="n">
        <v>855914.969411309</v>
      </c>
    </row>
    <row r="99" customFormat="false" ht="15" hidden="false" customHeight="false" outlineLevel="0" collapsed="false">
      <c r="A99" s="4" t="s">
        <v>43</v>
      </c>
      <c r="B99" s="11" t="n">
        <v>45323</v>
      </c>
      <c r="C99" s="5" t="n">
        <v>110708.2146061</v>
      </c>
      <c r="D99" s="4" t="n">
        <v>126641.9</v>
      </c>
      <c r="E99" s="4" t="n">
        <v>118983.7</v>
      </c>
      <c r="F99" s="4" t="n">
        <v>8275.4853939</v>
      </c>
      <c r="G99" s="4" t="n">
        <v>109125.9</v>
      </c>
      <c r="H99" s="4" t="n">
        <v>116356.8</v>
      </c>
      <c r="I99" s="5" t="n">
        <v>7743321.47</v>
      </c>
      <c r="J99" s="5" t="n">
        <v>2312400.27</v>
      </c>
      <c r="K99" s="4" t="n">
        <v>47277.78</v>
      </c>
      <c r="L99" s="4" t="n">
        <v>558411.193975103</v>
      </c>
    </row>
    <row r="100" customFormat="false" ht="15" hidden="false" customHeight="false" outlineLevel="0" collapsed="false">
      <c r="A100" s="4" t="s">
        <v>43</v>
      </c>
      <c r="B100" s="11" t="n">
        <v>45352</v>
      </c>
      <c r="C100" s="5" t="n">
        <v>111443.6035502</v>
      </c>
      <c r="D100" s="4" t="n">
        <v>127892.4</v>
      </c>
      <c r="E100" s="4" t="n">
        <v>122871.4</v>
      </c>
      <c r="F100" s="4" t="n">
        <v>11427.7964498</v>
      </c>
      <c r="G100" s="4" t="n">
        <v>109878.6</v>
      </c>
      <c r="H100" s="4" t="n">
        <v>117525.7</v>
      </c>
      <c r="I100" s="5" t="n">
        <v>7856944.56</v>
      </c>
      <c r="J100" s="5" t="n">
        <v>2464260.91</v>
      </c>
      <c r="K100" s="4" t="n">
        <v>107483.06</v>
      </c>
      <c r="L100" s="4" t="n">
        <v>781908.336272826</v>
      </c>
    </row>
    <row r="101" customFormat="false" ht="15" hidden="false" customHeight="false" outlineLevel="0" collapsed="false">
      <c r="A101" s="4" t="s">
        <v>43</v>
      </c>
      <c r="B101" s="11" t="n">
        <v>45383</v>
      </c>
      <c r="C101" s="5" t="n">
        <v>103673.5130638</v>
      </c>
      <c r="D101" s="4" t="n">
        <v>118689</v>
      </c>
      <c r="E101" s="4" t="n">
        <v>115353.2</v>
      </c>
      <c r="F101" s="4" t="n">
        <v>11679.6869362</v>
      </c>
      <c r="G101" s="4" t="n">
        <v>102064.4</v>
      </c>
      <c r="H101" s="4" t="n">
        <v>109108.7</v>
      </c>
      <c r="I101" s="5" t="n">
        <v>7283283.82</v>
      </c>
      <c r="J101" s="5" t="n">
        <v>2354791.12</v>
      </c>
      <c r="K101" s="4" t="n">
        <v>133451.53</v>
      </c>
      <c r="L101" s="4" t="n">
        <v>794346.243075248</v>
      </c>
    </row>
    <row r="102" customFormat="false" ht="15" hidden="false" customHeight="false" outlineLevel="0" collapsed="false">
      <c r="A102" s="4" t="s">
        <v>43</v>
      </c>
      <c r="B102" s="11" t="n">
        <v>45413</v>
      </c>
      <c r="C102" s="5" t="n">
        <v>104745.1767131</v>
      </c>
      <c r="D102" s="4" t="n">
        <v>121169.4</v>
      </c>
      <c r="E102" s="4" t="n">
        <v>115604.8</v>
      </c>
      <c r="F102" s="4" t="n">
        <v>10859.6232869</v>
      </c>
      <c r="G102" s="4" t="n">
        <v>103072.9</v>
      </c>
      <c r="H102" s="4" t="n">
        <v>111445.3</v>
      </c>
      <c r="I102" s="5" t="n">
        <v>7241838.37</v>
      </c>
      <c r="J102" s="5" t="n">
        <v>2340780.42</v>
      </c>
      <c r="K102" s="4" t="n">
        <v>43130.54</v>
      </c>
      <c r="L102" s="4" t="n">
        <v>725574.180265225</v>
      </c>
    </row>
    <row r="103" customFormat="false" ht="15" hidden="false" customHeight="false" outlineLevel="0" collapsed="false">
      <c r="A103" s="4" t="s">
        <v>43</v>
      </c>
      <c r="B103" s="11" t="n">
        <v>45444</v>
      </c>
      <c r="C103" s="5" t="n">
        <v>95724.5402196</v>
      </c>
      <c r="D103" s="4" t="n">
        <v>111134.9</v>
      </c>
      <c r="E103" s="4" t="n">
        <v>108537.3</v>
      </c>
      <c r="F103" s="4" t="n">
        <v>12812.7597804</v>
      </c>
      <c r="G103" s="4" t="n">
        <v>94239.6</v>
      </c>
      <c r="H103" s="4" t="n">
        <v>102251.4</v>
      </c>
      <c r="I103" s="5" t="n">
        <v>5959180.8</v>
      </c>
      <c r="J103" s="5" t="n">
        <v>2231877.41</v>
      </c>
      <c r="K103" s="4" t="n">
        <v>67763.27</v>
      </c>
      <c r="L103" s="4" t="n">
        <v>767166.530791783</v>
      </c>
    </row>
    <row r="104" customFormat="false" ht="15" hidden="false" customHeight="false" outlineLevel="0" collapsed="false">
      <c r="A104" s="4" t="s">
        <v>43</v>
      </c>
      <c r="B104" s="11" t="n">
        <v>45474</v>
      </c>
      <c r="C104" s="5" t="n">
        <v>91706.6816832</v>
      </c>
      <c r="D104" s="4" t="n">
        <v>106932.1</v>
      </c>
      <c r="E104" s="4" t="n">
        <v>109225.7</v>
      </c>
      <c r="F104" s="4" t="n">
        <v>17519.0183168</v>
      </c>
      <c r="G104" s="4" t="n">
        <v>90540.5</v>
      </c>
      <c r="H104" s="4" t="n">
        <v>98470.8</v>
      </c>
      <c r="I104" s="5" t="n">
        <v>5975049.09</v>
      </c>
      <c r="J104" s="5" t="n">
        <v>2267083.69</v>
      </c>
      <c r="K104" s="4" t="n">
        <v>90195.23</v>
      </c>
      <c r="L104" s="4" t="n">
        <v>1099082.91159703</v>
      </c>
    </row>
    <row r="105" customFormat="false" ht="15" hidden="false" customHeight="false" outlineLevel="0" collapsed="false">
      <c r="A105" s="4" t="s">
        <v>43</v>
      </c>
      <c r="B105" s="11" t="n">
        <v>45505</v>
      </c>
      <c r="C105" s="5" t="n">
        <v>94524.4798503</v>
      </c>
      <c r="D105" s="4" t="n">
        <v>110508.2</v>
      </c>
      <c r="E105" s="4" t="n">
        <v>105742.9</v>
      </c>
      <c r="F105" s="4" t="n">
        <v>11218.4201497</v>
      </c>
      <c r="G105" s="4" t="n">
        <v>93117</v>
      </c>
      <c r="H105" s="4" t="n">
        <v>101584.4</v>
      </c>
      <c r="I105" s="5" t="n">
        <v>6292995.63</v>
      </c>
      <c r="J105" s="5" t="n">
        <v>2255102.53</v>
      </c>
      <c r="K105" s="4" t="n">
        <v>69557.36</v>
      </c>
      <c r="L105" s="4" t="n">
        <v>722992.877705245</v>
      </c>
    </row>
    <row r="106" customFormat="false" ht="15" hidden="false" customHeight="false" outlineLevel="0" collapsed="false">
      <c r="A106" s="4" t="s">
        <v>43</v>
      </c>
      <c r="B106" s="11" t="n">
        <v>45536</v>
      </c>
      <c r="C106" s="5" t="n">
        <v>96828.9457709</v>
      </c>
      <c r="D106" s="4" t="n">
        <v>112425.2</v>
      </c>
      <c r="E106" s="4" t="n">
        <v>103287.7</v>
      </c>
      <c r="F106" s="4" t="n">
        <v>6458.7542291</v>
      </c>
      <c r="G106" s="4" t="n">
        <v>95395</v>
      </c>
      <c r="H106" s="4" t="n">
        <v>103345.8</v>
      </c>
      <c r="I106" s="5" t="n">
        <v>6653789.46</v>
      </c>
      <c r="J106" s="5" t="n">
        <v>2235276.12</v>
      </c>
      <c r="K106" s="4" t="n">
        <v>34556.63</v>
      </c>
      <c r="L106" s="4" t="n">
        <v>431711.884618304</v>
      </c>
    </row>
    <row r="107" customFormat="false" ht="15" hidden="false" customHeight="false" outlineLevel="0" collapsed="false">
      <c r="A107" s="4" t="s">
        <v>43</v>
      </c>
      <c r="B107" s="11" t="n">
        <v>45566</v>
      </c>
      <c r="C107" s="5" t="n">
        <v>91672.0277098</v>
      </c>
      <c r="D107" s="4" t="n">
        <v>107400</v>
      </c>
      <c r="E107" s="4" t="n">
        <v>103346.8</v>
      </c>
      <c r="F107" s="4" t="n">
        <v>11674.7722902</v>
      </c>
      <c r="G107" s="4" t="n">
        <v>90683.6</v>
      </c>
      <c r="H107" s="4" t="n">
        <v>99251.3</v>
      </c>
      <c r="I107" s="5" t="n">
        <v>6789516.81</v>
      </c>
      <c r="J107" s="5" t="n">
        <v>2240936.65</v>
      </c>
      <c r="K107" s="4" t="n">
        <v>102642.8</v>
      </c>
      <c r="L107" s="4" t="n">
        <v>838418.751160128</v>
      </c>
    </row>
    <row r="108" customFormat="false" ht="15" hidden="false" customHeight="false" outlineLevel="0" collapsed="false">
      <c r="A108" s="4" t="s">
        <v>43</v>
      </c>
      <c r="B108" s="11" t="n">
        <v>45597</v>
      </c>
      <c r="C108" s="5" t="n">
        <v>87497.8</v>
      </c>
      <c r="D108" s="4" t="n">
        <v>101844.2</v>
      </c>
      <c r="E108" s="4" t="n">
        <v>97184.7</v>
      </c>
      <c r="F108" s="4" t="n">
        <v>9686.9</v>
      </c>
      <c r="G108" s="4" t="n">
        <v>86260.3</v>
      </c>
      <c r="H108" s="4" t="n">
        <v>93732.6</v>
      </c>
      <c r="I108" s="5" t="n">
        <v>6778008.95</v>
      </c>
      <c r="J108" s="5" t="n">
        <v>2069329.4</v>
      </c>
      <c r="K108" s="4" t="n">
        <v>17314.08</v>
      </c>
      <c r="L108" s="4" t="n">
        <v>729905.889</v>
      </c>
    </row>
    <row r="109" customFormat="false" ht="15" hidden="false" customHeight="false" outlineLevel="0" collapsed="false">
      <c r="A109" s="4" t="s">
        <v>43</v>
      </c>
      <c r="B109" s="11" t="n">
        <v>45627</v>
      </c>
      <c r="C109" s="5" t="n">
        <v>90785.6377044</v>
      </c>
      <c r="D109" s="4" t="n">
        <v>107067.6</v>
      </c>
      <c r="E109" s="4" t="n">
        <v>97424.5</v>
      </c>
      <c r="F109" s="4" t="n">
        <v>6638.8622956</v>
      </c>
      <c r="G109" s="4" t="n">
        <v>89593.2</v>
      </c>
      <c r="H109" s="4" t="n">
        <v>98452.1</v>
      </c>
      <c r="I109" s="5" t="n">
        <v>6431161.75</v>
      </c>
      <c r="J109" s="5" t="n">
        <v>2234424.51</v>
      </c>
      <c r="K109" s="4" t="n">
        <v>39057.87</v>
      </c>
      <c r="L109" s="4" t="n">
        <v>449622.592011383</v>
      </c>
    </row>
    <row r="110" customFormat="false" ht="15" hidden="false" customHeight="false" outlineLevel="0" collapsed="false">
      <c r="A110" s="4" t="s">
        <v>44</v>
      </c>
      <c r="B110" s="11" t="n">
        <v>44562</v>
      </c>
      <c r="C110" s="5" t="n">
        <v>44561.382934</v>
      </c>
      <c r="D110" s="4" t="n">
        <v>61714.1</v>
      </c>
      <c r="E110" s="4" t="n">
        <v>48561.3</v>
      </c>
      <c r="F110" s="4" t="n">
        <v>3999.917066</v>
      </c>
      <c r="G110" s="4" t="n">
        <v>44016.1</v>
      </c>
      <c r="H110" s="4" t="n">
        <v>56867.1</v>
      </c>
      <c r="I110" s="5" t="n">
        <v>3092085.86</v>
      </c>
      <c r="J110" s="5" t="n">
        <v>1464913.97</v>
      </c>
      <c r="K110" s="4" t="n">
        <v>47095.38</v>
      </c>
      <c r="L110" s="4" t="n">
        <v>265551.701457766</v>
      </c>
    </row>
    <row r="111" customFormat="false" ht="15" hidden="false" customHeight="false" outlineLevel="0" collapsed="false">
      <c r="A111" s="4" t="s">
        <v>44</v>
      </c>
      <c r="B111" s="11" t="n">
        <v>44593</v>
      </c>
      <c r="C111" s="5" t="n">
        <v>38836</v>
      </c>
      <c r="D111" s="4" t="n">
        <v>53634.6</v>
      </c>
      <c r="E111" s="4" t="n">
        <v>43077</v>
      </c>
      <c r="F111" s="4" t="n">
        <v>4241</v>
      </c>
      <c r="G111" s="4" t="n">
        <v>38255.6</v>
      </c>
      <c r="H111" s="4" t="n">
        <v>49417.7</v>
      </c>
      <c r="I111" s="5" t="n">
        <v>2650898.05</v>
      </c>
      <c r="J111" s="5" t="n">
        <v>1399256.99</v>
      </c>
      <c r="K111" s="4" t="n">
        <v>78451.52</v>
      </c>
      <c r="L111" s="4" t="n">
        <v>273225.314</v>
      </c>
    </row>
    <row r="112" customFormat="false" ht="15" hidden="false" customHeight="false" outlineLevel="0" collapsed="false">
      <c r="A112" s="4" t="s">
        <v>44</v>
      </c>
      <c r="B112" s="11" t="n">
        <v>44621</v>
      </c>
      <c r="C112" s="5" t="n">
        <v>43031.6686593</v>
      </c>
      <c r="D112" s="4" t="n">
        <v>60435.6</v>
      </c>
      <c r="E112" s="4" t="n">
        <v>46644</v>
      </c>
      <c r="F112" s="4" t="n">
        <v>3612.3313407</v>
      </c>
      <c r="G112" s="4" t="n">
        <v>42789.1</v>
      </c>
      <c r="H112" s="4" t="n">
        <v>56044.8</v>
      </c>
      <c r="I112" s="5" t="n">
        <v>3035087.4</v>
      </c>
      <c r="J112" s="5" t="n">
        <v>1517865.08</v>
      </c>
      <c r="K112" s="4" t="n">
        <v>50892.33</v>
      </c>
      <c r="L112" s="4" t="n">
        <v>236246.34108399</v>
      </c>
    </row>
    <row r="113" customFormat="false" ht="15" hidden="false" customHeight="false" outlineLevel="0" collapsed="false">
      <c r="A113" s="4" t="s">
        <v>44</v>
      </c>
      <c r="B113" s="11" t="n">
        <v>44652</v>
      </c>
      <c r="C113" s="5" t="n">
        <v>40251.2160999</v>
      </c>
      <c r="D113" s="4" t="n">
        <v>55874.7</v>
      </c>
      <c r="E113" s="4" t="n">
        <v>44628.4</v>
      </c>
      <c r="F113" s="4" t="n">
        <v>4377.1839001</v>
      </c>
      <c r="G113" s="4" t="n">
        <v>39796</v>
      </c>
      <c r="H113" s="4" t="n">
        <v>51607</v>
      </c>
      <c r="I113" s="5" t="n">
        <v>3165535.87</v>
      </c>
      <c r="J113" s="5" t="n">
        <v>1469204.58</v>
      </c>
      <c r="K113" s="4" t="n">
        <v>63329.24</v>
      </c>
      <c r="L113" s="4" t="n">
        <v>326216.956482525</v>
      </c>
    </row>
    <row r="114" customFormat="false" ht="15" hidden="false" customHeight="false" outlineLevel="0" collapsed="false">
      <c r="A114" s="4" t="s">
        <v>44</v>
      </c>
      <c r="B114" s="11" t="n">
        <v>44682</v>
      </c>
      <c r="C114" s="5" t="n">
        <v>40226.5671315</v>
      </c>
      <c r="D114" s="4" t="n">
        <v>55967.9</v>
      </c>
      <c r="E114" s="4" t="n">
        <v>45939.1</v>
      </c>
      <c r="F114" s="4" t="n">
        <v>5712.5328685</v>
      </c>
      <c r="G114" s="4" t="n">
        <v>39614.3</v>
      </c>
      <c r="H114" s="4" t="n">
        <v>51451.7</v>
      </c>
      <c r="I114" s="5" t="n">
        <v>3323564.91</v>
      </c>
      <c r="J114" s="5" t="n">
        <v>1487649.54</v>
      </c>
      <c r="K114" s="4" t="n">
        <v>57873.12</v>
      </c>
      <c r="L114" s="4" t="n">
        <v>459410.328851928</v>
      </c>
    </row>
    <row r="115" customFormat="false" ht="15" hidden="false" customHeight="false" outlineLevel="0" collapsed="false">
      <c r="A115" s="4" t="s">
        <v>44</v>
      </c>
      <c r="B115" s="11" t="n">
        <v>44713</v>
      </c>
      <c r="C115" s="5" t="n">
        <v>40598.340517</v>
      </c>
      <c r="D115" s="4" t="n">
        <v>56933.9</v>
      </c>
      <c r="E115" s="4" t="n">
        <v>43809.7</v>
      </c>
      <c r="F115" s="4" t="n">
        <v>3211.359483</v>
      </c>
      <c r="G115" s="4" t="n">
        <v>39992.9</v>
      </c>
      <c r="H115" s="4" t="n">
        <v>52249.7</v>
      </c>
      <c r="I115" s="5" t="n">
        <v>3098653.46</v>
      </c>
      <c r="J115" s="5" t="n">
        <v>1414845.19</v>
      </c>
      <c r="K115" s="4" t="n">
        <v>39392.63</v>
      </c>
      <c r="L115" s="4" t="n">
        <v>234927.503396444</v>
      </c>
    </row>
    <row r="116" customFormat="false" ht="15" hidden="false" customHeight="false" outlineLevel="0" collapsed="false">
      <c r="A116" s="4" t="s">
        <v>44</v>
      </c>
      <c r="B116" s="11" t="n">
        <v>44743</v>
      </c>
      <c r="C116" s="5" t="n">
        <v>41157.779654</v>
      </c>
      <c r="D116" s="4" t="n">
        <v>58130.5</v>
      </c>
      <c r="E116" s="4" t="n">
        <v>44304.8</v>
      </c>
      <c r="F116" s="4" t="n">
        <v>3147.0224423</v>
      </c>
      <c r="G116" s="4" t="n">
        <v>40647</v>
      </c>
      <c r="H116" s="4" t="n">
        <v>53690</v>
      </c>
      <c r="I116" s="5" t="n">
        <v>3537502.29</v>
      </c>
      <c r="J116" s="5" t="n">
        <v>1495249.9</v>
      </c>
      <c r="K116" s="4" t="n">
        <v>64451.47</v>
      </c>
      <c r="L116" s="4" t="n">
        <v>258613.410618411</v>
      </c>
    </row>
    <row r="117" customFormat="false" ht="15" hidden="false" customHeight="false" outlineLevel="0" collapsed="false">
      <c r="A117" s="4" t="s">
        <v>44</v>
      </c>
      <c r="B117" s="11" t="n">
        <v>44774</v>
      </c>
      <c r="C117" s="5" t="n">
        <v>41194.2</v>
      </c>
      <c r="D117" s="4" t="n">
        <v>57516.1</v>
      </c>
      <c r="E117" s="4" t="n">
        <v>43748.6</v>
      </c>
      <c r="F117" s="4" t="n">
        <v>2554.4</v>
      </c>
      <c r="G117" s="4" t="n">
        <v>40567.7</v>
      </c>
      <c r="H117" s="4" t="n">
        <v>52923.7</v>
      </c>
      <c r="I117" s="5" t="n">
        <v>3240523.77</v>
      </c>
      <c r="J117" s="5" t="n">
        <v>1428830.65</v>
      </c>
      <c r="K117" s="4" t="n">
        <v>33257.51</v>
      </c>
      <c r="L117" s="4" t="n">
        <v>191493.937</v>
      </c>
    </row>
    <row r="118" customFormat="false" ht="15" hidden="false" customHeight="false" outlineLevel="0" collapsed="false">
      <c r="A118" s="4" t="s">
        <v>44</v>
      </c>
      <c r="B118" s="11" t="n">
        <v>44805</v>
      </c>
      <c r="C118" s="5" t="n">
        <v>37828.174231</v>
      </c>
      <c r="D118" s="4" t="n">
        <v>53599.4</v>
      </c>
      <c r="E118" s="4" t="n">
        <v>41257.5</v>
      </c>
      <c r="F118" s="4" t="n">
        <v>3429.325769</v>
      </c>
      <c r="G118" s="4" t="n">
        <v>37604.3</v>
      </c>
      <c r="H118" s="4" t="n">
        <v>49768</v>
      </c>
      <c r="I118" s="5" t="n">
        <v>2829500.7</v>
      </c>
      <c r="J118" s="5" t="n">
        <v>1397028.07</v>
      </c>
      <c r="K118" s="4" t="n">
        <v>46857.44</v>
      </c>
      <c r="L118" s="4" t="n">
        <v>241299.81835292</v>
      </c>
    </row>
    <row r="119" customFormat="false" ht="15" hidden="false" customHeight="false" outlineLevel="0" collapsed="false">
      <c r="A119" s="4" t="s">
        <v>44</v>
      </c>
      <c r="B119" s="11" t="n">
        <v>44835</v>
      </c>
      <c r="C119" s="5" t="n">
        <v>39518.7807833</v>
      </c>
      <c r="D119" s="4" t="n">
        <v>56098.6</v>
      </c>
      <c r="E119" s="4" t="n">
        <v>42560.4</v>
      </c>
      <c r="F119" s="4" t="n">
        <v>3041.6192167</v>
      </c>
      <c r="G119" s="4" t="n">
        <v>38903.2</v>
      </c>
      <c r="H119" s="4" t="n">
        <v>51595.4</v>
      </c>
      <c r="I119" s="5" t="n">
        <v>2829327.34</v>
      </c>
      <c r="J119" s="5" t="n">
        <v>1444637.42</v>
      </c>
      <c r="K119" s="4" t="n">
        <v>43834.61</v>
      </c>
      <c r="L119" s="4" t="n">
        <v>206646.037093603</v>
      </c>
    </row>
    <row r="120" customFormat="false" ht="15" hidden="false" customHeight="false" outlineLevel="0" collapsed="false">
      <c r="A120" s="4" t="s">
        <v>44</v>
      </c>
      <c r="B120" s="11" t="n">
        <v>44866</v>
      </c>
      <c r="C120" s="5" t="n">
        <v>50000.3307459</v>
      </c>
      <c r="D120" s="4" t="n">
        <v>71580.7</v>
      </c>
      <c r="E120" s="4" t="n">
        <v>55338.6</v>
      </c>
      <c r="F120" s="4" t="n">
        <v>5338.3</v>
      </c>
      <c r="G120" s="4" t="n">
        <v>49251.5</v>
      </c>
      <c r="H120" s="4" t="n">
        <v>65852.6</v>
      </c>
      <c r="I120" s="5" t="n">
        <v>4041769.82</v>
      </c>
      <c r="J120" s="5" t="n">
        <v>1564490.7</v>
      </c>
      <c r="K120" s="4" t="n">
        <v>53874.07</v>
      </c>
      <c r="L120" s="4" t="n">
        <v>410906.197</v>
      </c>
    </row>
    <row r="121" customFormat="false" ht="15" hidden="false" customHeight="false" outlineLevel="0" collapsed="false">
      <c r="A121" s="4" t="s">
        <v>44</v>
      </c>
      <c r="B121" s="11" t="n">
        <v>44896</v>
      </c>
      <c r="C121" s="5" t="n">
        <v>56681.7175742</v>
      </c>
      <c r="D121" s="4" t="n">
        <v>80734.8</v>
      </c>
      <c r="E121" s="4" t="n">
        <v>62214.6</v>
      </c>
      <c r="F121" s="4" t="n">
        <v>5532.9023393</v>
      </c>
      <c r="G121" s="4" t="n">
        <v>55931.8</v>
      </c>
      <c r="H121" s="4" t="n">
        <v>74235.2</v>
      </c>
      <c r="I121" s="5" t="n">
        <v>4501819.66</v>
      </c>
      <c r="J121" s="5" t="n">
        <v>1663454.99</v>
      </c>
      <c r="K121" s="4" t="n">
        <v>53480.12</v>
      </c>
      <c r="L121" s="4" t="n">
        <v>416470.062301557</v>
      </c>
    </row>
    <row r="122" customFormat="false" ht="15" hidden="false" customHeight="false" outlineLevel="0" collapsed="false">
      <c r="A122" s="4" t="s">
        <v>44</v>
      </c>
      <c r="B122" s="11" t="n">
        <v>44927</v>
      </c>
      <c r="C122" s="5" t="n">
        <v>53779.8937995</v>
      </c>
      <c r="D122" s="4" t="n">
        <v>76974.5</v>
      </c>
      <c r="E122" s="4" t="n">
        <v>61360.8</v>
      </c>
      <c r="F122" s="4" t="n">
        <v>7580.9062005</v>
      </c>
      <c r="G122" s="4" t="n">
        <v>52992.2</v>
      </c>
      <c r="H122" s="4" t="n">
        <v>70866.3</v>
      </c>
      <c r="I122" s="5" t="n">
        <v>4272889.91</v>
      </c>
      <c r="J122" s="5" t="n">
        <v>1659055.13</v>
      </c>
      <c r="K122" s="4" t="n">
        <v>81242.15</v>
      </c>
      <c r="L122" s="4" t="n">
        <v>568837.478835287</v>
      </c>
    </row>
    <row r="123" customFormat="false" ht="15" hidden="false" customHeight="false" outlineLevel="0" collapsed="false">
      <c r="A123" s="4" t="s">
        <v>44</v>
      </c>
      <c r="B123" s="11" t="n">
        <v>44958</v>
      </c>
      <c r="C123" s="5" t="n">
        <v>51520.5924952</v>
      </c>
      <c r="D123" s="4" t="n">
        <v>74144</v>
      </c>
      <c r="E123" s="4" t="n">
        <v>54780.9</v>
      </c>
      <c r="F123" s="4" t="n">
        <v>3260.3075048</v>
      </c>
      <c r="G123" s="4" t="n">
        <v>50684.9</v>
      </c>
      <c r="H123" s="4" t="n">
        <v>68148.3</v>
      </c>
      <c r="I123" s="5" t="n">
        <v>3945929.14</v>
      </c>
      <c r="J123" s="5" t="n">
        <v>1512629.14</v>
      </c>
      <c r="K123" s="4" t="n">
        <v>35423.4</v>
      </c>
      <c r="L123" s="4" t="n">
        <v>236395.195185312</v>
      </c>
    </row>
    <row r="124" customFormat="false" ht="15" hidden="false" customHeight="false" outlineLevel="0" collapsed="false">
      <c r="A124" s="4" t="s">
        <v>44</v>
      </c>
      <c r="B124" s="11" t="n">
        <v>44986</v>
      </c>
      <c r="C124" s="5" t="n">
        <v>56048.5</v>
      </c>
      <c r="D124" s="4" t="n">
        <v>80247.7</v>
      </c>
      <c r="E124" s="4" t="n">
        <v>59649.3</v>
      </c>
      <c r="F124" s="4" t="n">
        <v>3600.8</v>
      </c>
      <c r="G124" s="4" t="n">
        <v>55301.4</v>
      </c>
      <c r="H124" s="4" t="n">
        <v>74042.5</v>
      </c>
      <c r="I124" s="5" t="n">
        <v>3829652.84</v>
      </c>
      <c r="J124" s="5" t="n">
        <v>1669286.22</v>
      </c>
      <c r="K124" s="4" t="n">
        <v>66713.91</v>
      </c>
      <c r="L124" s="4" t="n">
        <v>231446.994</v>
      </c>
    </row>
    <row r="125" customFormat="false" ht="15" hidden="false" customHeight="false" outlineLevel="0" collapsed="false">
      <c r="A125" s="4" t="s">
        <v>44</v>
      </c>
      <c r="B125" s="11" t="n">
        <v>45017</v>
      </c>
      <c r="C125" s="5" t="n">
        <v>53456.5081345</v>
      </c>
      <c r="D125" s="4" t="n">
        <v>77316.8</v>
      </c>
      <c r="E125" s="4" t="n">
        <v>56768.2</v>
      </c>
      <c r="F125" s="4" t="n">
        <v>3311.7</v>
      </c>
      <c r="G125" s="4" t="n">
        <v>52634</v>
      </c>
      <c r="H125" s="4" t="n">
        <v>71004</v>
      </c>
      <c r="I125" s="5" t="n">
        <v>3597864.31</v>
      </c>
      <c r="J125" s="5" t="n">
        <v>1599601.02</v>
      </c>
      <c r="K125" s="4" t="n">
        <v>33943.67</v>
      </c>
      <c r="L125" s="4" t="n">
        <v>209102.222</v>
      </c>
    </row>
    <row r="126" customFormat="false" ht="15" hidden="false" customHeight="false" outlineLevel="0" collapsed="false">
      <c r="A126" s="4" t="s">
        <v>44</v>
      </c>
      <c r="B126" s="11" t="n">
        <v>45047</v>
      </c>
      <c r="C126" s="5" t="n">
        <v>51444.0704174</v>
      </c>
      <c r="D126" s="4" t="n">
        <v>74788.2</v>
      </c>
      <c r="E126" s="4" t="n">
        <v>57926.5</v>
      </c>
      <c r="F126" s="4" t="n">
        <v>6482.4295826</v>
      </c>
      <c r="G126" s="4" t="n">
        <v>50579.2</v>
      </c>
      <c r="H126" s="4" t="n">
        <v>68719.2</v>
      </c>
      <c r="I126" s="5" t="n">
        <v>3376666.64</v>
      </c>
      <c r="J126" s="5" t="n">
        <v>1629359.85</v>
      </c>
      <c r="K126" s="4" t="n">
        <v>50891.11</v>
      </c>
      <c r="L126" s="4" t="n">
        <v>403266.545823492</v>
      </c>
    </row>
    <row r="127" customFormat="false" ht="15" hidden="false" customHeight="false" outlineLevel="0" collapsed="false">
      <c r="A127" s="4" t="s">
        <v>44</v>
      </c>
      <c r="B127" s="11" t="n">
        <v>45078</v>
      </c>
      <c r="C127" s="5" t="n">
        <v>46513.5</v>
      </c>
      <c r="D127" s="4" t="n">
        <v>67958.6</v>
      </c>
      <c r="E127" s="4" t="n">
        <v>55063.4</v>
      </c>
      <c r="F127" s="4" t="n">
        <v>8549.9</v>
      </c>
      <c r="G127" s="4" t="n">
        <v>45790.5</v>
      </c>
      <c r="H127" s="4" t="n">
        <v>62526</v>
      </c>
      <c r="I127" s="5" t="n">
        <v>3114735.01</v>
      </c>
      <c r="J127" s="5" t="n">
        <v>1620084.11</v>
      </c>
      <c r="K127" s="4" t="n">
        <v>107728.65</v>
      </c>
      <c r="L127" s="4" t="n">
        <v>543474.89</v>
      </c>
    </row>
    <row r="128" customFormat="false" ht="15" hidden="false" customHeight="false" outlineLevel="0" collapsed="false">
      <c r="A128" s="4" t="s">
        <v>44</v>
      </c>
      <c r="B128" s="11" t="n">
        <v>45108</v>
      </c>
      <c r="C128" s="5" t="n">
        <v>53159.2292317</v>
      </c>
      <c r="D128" s="4" t="n">
        <v>76680.9</v>
      </c>
      <c r="E128" s="4" t="n">
        <v>55988.9</v>
      </c>
      <c r="F128" s="4" t="n">
        <v>2829.6707683</v>
      </c>
      <c r="G128" s="4" t="n">
        <v>52393.4</v>
      </c>
      <c r="H128" s="4" t="n">
        <v>70572.4</v>
      </c>
      <c r="I128" s="5" t="n">
        <v>3580655.83</v>
      </c>
      <c r="J128" s="5" t="n">
        <v>1588227.74</v>
      </c>
      <c r="K128" s="4" t="n">
        <v>16743.71</v>
      </c>
      <c r="L128" s="4" t="n">
        <v>181924.910432301</v>
      </c>
    </row>
    <row r="129" customFormat="false" ht="15" hidden="false" customHeight="false" outlineLevel="0" collapsed="false">
      <c r="A129" s="4" t="s">
        <v>44</v>
      </c>
      <c r="B129" s="11" t="n">
        <v>45139</v>
      </c>
      <c r="C129" s="5" t="n">
        <v>47791.9</v>
      </c>
      <c r="D129" s="4" t="n">
        <v>69271.4</v>
      </c>
      <c r="E129" s="4" t="n">
        <v>55145.6</v>
      </c>
      <c r="F129" s="4" t="n">
        <v>7353.7</v>
      </c>
      <c r="G129" s="4" t="n">
        <v>47143.4</v>
      </c>
      <c r="H129" s="4" t="n">
        <v>63785.6</v>
      </c>
      <c r="I129" s="5" t="n">
        <v>3439942.45</v>
      </c>
      <c r="J129" s="5" t="n">
        <v>1607724.32</v>
      </c>
      <c r="K129" s="4" t="n">
        <v>135340.5</v>
      </c>
      <c r="L129" s="4" t="n">
        <v>505947.752</v>
      </c>
    </row>
    <row r="130" customFormat="false" ht="15" hidden="false" customHeight="false" outlineLevel="0" collapsed="false">
      <c r="A130" s="4" t="s">
        <v>44</v>
      </c>
      <c r="B130" s="11" t="n">
        <v>45170</v>
      </c>
      <c r="C130" s="5" t="n">
        <v>47917.7187035</v>
      </c>
      <c r="D130" s="4" t="n">
        <v>70188.8</v>
      </c>
      <c r="E130" s="4" t="n">
        <v>52750.3</v>
      </c>
      <c r="F130" s="4" t="n">
        <v>4832.5812965</v>
      </c>
      <c r="G130" s="4" t="n">
        <v>47236.1</v>
      </c>
      <c r="H130" s="4" t="n">
        <v>64556.7</v>
      </c>
      <c r="I130" s="5" t="n">
        <v>3191709.87</v>
      </c>
      <c r="J130" s="5" t="n">
        <v>1579841.52</v>
      </c>
      <c r="K130" s="4" t="n">
        <v>82388.46</v>
      </c>
      <c r="L130" s="4" t="n">
        <v>310020.705380385</v>
      </c>
    </row>
    <row r="131" customFormat="false" ht="15" hidden="false" customHeight="false" outlineLevel="0" collapsed="false">
      <c r="A131" s="4" t="s">
        <v>44</v>
      </c>
      <c r="B131" s="11" t="n">
        <v>45200</v>
      </c>
      <c r="C131" s="5" t="n">
        <v>110394.4203936</v>
      </c>
      <c r="D131" s="4" t="n">
        <v>158994.6</v>
      </c>
      <c r="E131" s="4" t="n">
        <v>118223.8</v>
      </c>
      <c r="F131" s="4" t="n">
        <v>7829.3796064</v>
      </c>
      <c r="G131" s="4" t="n">
        <v>108761</v>
      </c>
      <c r="H131" s="4" t="n">
        <v>146300.8</v>
      </c>
      <c r="I131" s="5" t="n">
        <v>8397476.46</v>
      </c>
      <c r="J131" s="5" t="n">
        <v>2202080.98</v>
      </c>
      <c r="K131" s="4" t="n">
        <v>32050.55</v>
      </c>
      <c r="L131" s="4" t="n">
        <v>571812.745392416</v>
      </c>
    </row>
    <row r="132" customFormat="false" ht="15" hidden="false" customHeight="false" outlineLevel="0" collapsed="false">
      <c r="A132" s="4" t="s">
        <v>44</v>
      </c>
      <c r="B132" s="11" t="n">
        <v>45231</v>
      </c>
      <c r="C132" s="5" t="n">
        <v>107284.869153</v>
      </c>
      <c r="D132" s="4" t="n">
        <v>154804.7</v>
      </c>
      <c r="E132" s="4" t="n">
        <v>117860.6</v>
      </c>
      <c r="F132" s="4" t="n">
        <v>10575.730847</v>
      </c>
      <c r="G132" s="4" t="n">
        <v>105771.3</v>
      </c>
      <c r="H132" s="4" t="n">
        <v>142751.6</v>
      </c>
      <c r="I132" s="5" t="n">
        <v>7409801.51</v>
      </c>
      <c r="J132" s="5" t="n">
        <v>2191687.05</v>
      </c>
      <c r="K132" s="4" t="n">
        <v>64974.56</v>
      </c>
      <c r="L132" s="4" t="n">
        <v>699119.278762385</v>
      </c>
    </row>
    <row r="133" customFormat="false" ht="15" hidden="false" customHeight="false" outlineLevel="0" collapsed="false">
      <c r="A133" s="4" t="s">
        <v>44</v>
      </c>
      <c r="B133" s="11" t="n">
        <v>45261</v>
      </c>
      <c r="C133" s="5" t="n">
        <v>112092.5885864</v>
      </c>
      <c r="D133" s="4" t="n">
        <v>163828.7</v>
      </c>
      <c r="E133" s="4" t="n">
        <v>118158.3</v>
      </c>
      <c r="F133" s="4" t="n">
        <v>6065.7114136</v>
      </c>
      <c r="G133" s="4" t="n">
        <v>110531.9</v>
      </c>
      <c r="H133" s="4" t="n">
        <v>150993.7</v>
      </c>
      <c r="I133" s="5" t="n">
        <v>7633195.74</v>
      </c>
      <c r="J133" s="5" t="n">
        <v>2212478.27</v>
      </c>
      <c r="K133" s="4" t="n">
        <v>28731.91</v>
      </c>
      <c r="L133" s="4" t="n">
        <v>396685.562819072</v>
      </c>
    </row>
    <row r="134" customFormat="false" ht="15" hidden="false" customHeight="false" outlineLevel="0" collapsed="false">
      <c r="A134" s="4" t="s">
        <v>44</v>
      </c>
      <c r="B134" s="11" t="n">
        <v>45292</v>
      </c>
      <c r="C134" s="5" t="n">
        <v>101960.2010699</v>
      </c>
      <c r="D134" s="4" t="n">
        <v>149036.2</v>
      </c>
      <c r="E134" s="4" t="n">
        <v>113828.1</v>
      </c>
      <c r="F134" s="4" t="n">
        <v>11867.8989301</v>
      </c>
      <c r="G134" s="4" t="n">
        <v>100460.6</v>
      </c>
      <c r="H134" s="4" t="n">
        <v>137291.6</v>
      </c>
      <c r="I134" s="5" t="n">
        <v>7282811.24</v>
      </c>
      <c r="J134" s="5" t="n">
        <v>2232628.85</v>
      </c>
      <c r="K134" s="4" t="n">
        <v>103369.29</v>
      </c>
      <c r="L134" s="4" t="n">
        <v>814563.567246923</v>
      </c>
    </row>
    <row r="135" customFormat="false" ht="15" hidden="false" customHeight="false" outlineLevel="0" collapsed="false">
      <c r="A135" s="4" t="s">
        <v>44</v>
      </c>
      <c r="B135" s="11" t="n">
        <v>45323</v>
      </c>
      <c r="C135" s="5" t="n">
        <v>97572.983143</v>
      </c>
      <c r="D135" s="4" t="n">
        <v>143096.8</v>
      </c>
      <c r="E135" s="4" t="n">
        <v>101972.5</v>
      </c>
      <c r="F135" s="4" t="n">
        <v>4399.516857</v>
      </c>
      <c r="G135" s="4" t="n">
        <v>97335.9</v>
      </c>
      <c r="H135" s="4" t="n">
        <v>132960</v>
      </c>
      <c r="I135" s="5" t="n">
        <v>7266321.23</v>
      </c>
      <c r="J135" s="5" t="n">
        <v>2001719.34</v>
      </c>
      <c r="K135" s="4" t="n">
        <v>10591.75</v>
      </c>
      <c r="L135" s="4" t="n">
        <v>309148.04144134</v>
      </c>
    </row>
    <row r="136" customFormat="false" ht="15" hidden="false" customHeight="false" outlineLevel="0" collapsed="false">
      <c r="A136" s="4" t="s">
        <v>44</v>
      </c>
      <c r="B136" s="11" t="n">
        <v>45352</v>
      </c>
      <c r="C136" s="5" t="n">
        <v>91897.073745</v>
      </c>
      <c r="D136" s="4" t="n">
        <v>135383.5</v>
      </c>
      <c r="E136" s="4" t="n">
        <v>106908.2</v>
      </c>
      <c r="F136" s="4" t="n">
        <v>15011.1283445</v>
      </c>
      <c r="G136" s="4" t="n">
        <v>90534.1</v>
      </c>
      <c r="H136" s="4" t="n">
        <v>124475.7</v>
      </c>
      <c r="I136" s="5" t="n">
        <v>6787251.84</v>
      </c>
      <c r="J136" s="5" t="n">
        <v>2097588.06</v>
      </c>
      <c r="K136" s="4" t="n">
        <v>93497.01</v>
      </c>
      <c r="L136" s="4" t="n">
        <v>1060139.66209912</v>
      </c>
    </row>
    <row r="137" customFormat="false" ht="15" hidden="false" customHeight="false" outlineLevel="0" collapsed="false">
      <c r="A137" s="4" t="s">
        <v>44</v>
      </c>
      <c r="B137" s="11" t="n">
        <v>45383</v>
      </c>
      <c r="C137" s="5" t="n">
        <v>89168.3703707</v>
      </c>
      <c r="D137" s="4" t="n">
        <v>130823.1</v>
      </c>
      <c r="E137" s="4" t="n">
        <v>100414.3</v>
      </c>
      <c r="F137" s="4" t="n">
        <v>11245.9296293</v>
      </c>
      <c r="G137" s="4" t="n">
        <v>87924.6</v>
      </c>
      <c r="H137" s="4" t="n">
        <v>120544.9</v>
      </c>
      <c r="I137" s="5" t="n">
        <v>6598714.89</v>
      </c>
      <c r="J137" s="5" t="n">
        <v>2056886.15</v>
      </c>
      <c r="K137" s="4" t="n">
        <v>79458.57</v>
      </c>
      <c r="L137" s="4" t="n">
        <v>792545.850217494</v>
      </c>
    </row>
    <row r="138" customFormat="false" ht="15" hidden="false" customHeight="false" outlineLevel="0" collapsed="false">
      <c r="A138" s="4" t="s">
        <v>44</v>
      </c>
      <c r="B138" s="11" t="n">
        <v>45413</v>
      </c>
      <c r="C138" s="5" t="n">
        <v>93911.9168978</v>
      </c>
      <c r="D138" s="4" t="n">
        <v>138882.3</v>
      </c>
      <c r="E138" s="4" t="n">
        <v>101033.4</v>
      </c>
      <c r="F138" s="4" t="n">
        <v>7121.507634</v>
      </c>
      <c r="G138" s="4" t="n">
        <v>92312.8</v>
      </c>
      <c r="H138" s="4" t="n">
        <v>127627.2</v>
      </c>
      <c r="I138" s="5" t="n">
        <v>6811349.64</v>
      </c>
      <c r="J138" s="5" t="n">
        <v>2179855.82</v>
      </c>
      <c r="K138" s="4" t="n">
        <v>104857.03</v>
      </c>
      <c r="L138" s="4" t="n">
        <v>492353.86723436</v>
      </c>
    </row>
    <row r="139" customFormat="false" ht="15" hidden="false" customHeight="false" outlineLevel="0" collapsed="false">
      <c r="A139" s="4" t="s">
        <v>44</v>
      </c>
      <c r="B139" s="11" t="n">
        <v>45444</v>
      </c>
      <c r="C139" s="5" t="n">
        <v>89616.299859</v>
      </c>
      <c r="D139" s="4" t="n">
        <v>132427.5</v>
      </c>
      <c r="E139" s="4" t="n">
        <v>95430.8</v>
      </c>
      <c r="F139" s="4" t="n">
        <v>5814.500141</v>
      </c>
      <c r="G139" s="4" t="n">
        <v>88384.6</v>
      </c>
      <c r="H139" s="4" t="n">
        <v>121893.9</v>
      </c>
      <c r="I139" s="5" t="n">
        <v>5910342.04</v>
      </c>
      <c r="J139" s="5" t="n">
        <v>1998389.7</v>
      </c>
      <c r="K139" s="4" t="n">
        <v>28797.46</v>
      </c>
      <c r="L139" s="4" t="n">
        <v>363242.925393165</v>
      </c>
    </row>
    <row r="140" customFormat="false" ht="15" hidden="false" customHeight="false" outlineLevel="0" collapsed="false">
      <c r="A140" s="4" t="s">
        <v>44</v>
      </c>
      <c r="B140" s="11" t="n">
        <v>45474</v>
      </c>
      <c r="C140" s="5" t="n">
        <v>79683.4076544</v>
      </c>
      <c r="D140" s="4" t="n">
        <v>118380.3</v>
      </c>
      <c r="E140" s="4" t="n">
        <v>96173.2</v>
      </c>
      <c r="F140" s="4" t="n">
        <v>16489.7923456</v>
      </c>
      <c r="G140" s="4" t="n">
        <v>78454.9</v>
      </c>
      <c r="H140" s="4" t="n">
        <v>108936.6</v>
      </c>
      <c r="I140" s="5" t="n">
        <v>5454318.5</v>
      </c>
      <c r="J140" s="5" t="n">
        <v>2084321.42</v>
      </c>
      <c r="K140" s="4" t="n">
        <v>174616.27</v>
      </c>
      <c r="L140" s="4" t="n">
        <v>1081840.87865158</v>
      </c>
    </row>
    <row r="141" customFormat="false" ht="15" hidden="false" customHeight="false" outlineLevel="0" collapsed="false">
      <c r="A141" s="4" t="s">
        <v>44</v>
      </c>
      <c r="B141" s="11" t="n">
        <v>45505</v>
      </c>
      <c r="C141" s="5" t="n">
        <v>84813.1962816</v>
      </c>
      <c r="D141" s="4" t="n">
        <v>127222.4</v>
      </c>
      <c r="E141" s="4" t="n">
        <v>93705.5</v>
      </c>
      <c r="F141" s="4" t="n">
        <v>8892.3037184</v>
      </c>
      <c r="G141" s="4" t="n">
        <v>83544.3</v>
      </c>
      <c r="H141" s="4" t="n">
        <v>117213.6</v>
      </c>
      <c r="I141" s="5" t="n">
        <v>5942025.57</v>
      </c>
      <c r="J141" s="5" t="n">
        <v>1987203.87</v>
      </c>
      <c r="K141" s="4" t="n">
        <v>48169.91</v>
      </c>
      <c r="L141" s="4" t="n">
        <v>595639.9681027</v>
      </c>
    </row>
    <row r="142" customFormat="false" ht="15" hidden="false" customHeight="false" outlineLevel="0" collapsed="false">
      <c r="A142" s="4" t="s">
        <v>44</v>
      </c>
      <c r="B142" s="11" t="n">
        <v>45536</v>
      </c>
      <c r="C142" s="5" t="n">
        <v>78896.2285757</v>
      </c>
      <c r="D142" s="4" t="n">
        <v>118627.5</v>
      </c>
      <c r="E142" s="4" t="n">
        <v>88394.2</v>
      </c>
      <c r="F142" s="4" t="n">
        <v>9497.9714243</v>
      </c>
      <c r="G142" s="4" t="n">
        <v>77712.8</v>
      </c>
      <c r="H142" s="4" t="n">
        <v>109233</v>
      </c>
      <c r="I142" s="5" t="n">
        <v>5696312.17</v>
      </c>
      <c r="J142" s="5" t="n">
        <v>1937476.26</v>
      </c>
      <c r="K142" s="4" t="n">
        <v>55206.8</v>
      </c>
      <c r="L142" s="4" t="n">
        <v>658811.658703093</v>
      </c>
    </row>
    <row r="143" customFormat="false" ht="15" hidden="false" customHeight="false" outlineLevel="0" collapsed="false">
      <c r="A143" s="4" t="s">
        <v>44</v>
      </c>
      <c r="B143" s="11" t="n">
        <v>45566</v>
      </c>
      <c r="C143" s="5" t="n">
        <v>83041.6675504</v>
      </c>
      <c r="D143" s="4" t="n">
        <v>124694.6</v>
      </c>
      <c r="E143" s="4" t="n">
        <v>89308.5</v>
      </c>
      <c r="F143" s="4" t="n">
        <v>6266.8324496</v>
      </c>
      <c r="G143" s="4" t="n">
        <v>81880.5</v>
      </c>
      <c r="H143" s="4" t="n">
        <v>114770.3</v>
      </c>
      <c r="I143" s="5" t="n">
        <v>6437092.62</v>
      </c>
      <c r="J143" s="5" t="n">
        <v>2037575.94</v>
      </c>
      <c r="K143" s="4" t="n">
        <v>59239.07</v>
      </c>
      <c r="L143" s="4" t="n">
        <v>466870.152378989</v>
      </c>
    </row>
    <row r="144" customFormat="false" ht="15" hidden="false" customHeight="false" outlineLevel="0" collapsed="false">
      <c r="A144" s="4" t="s">
        <v>44</v>
      </c>
      <c r="B144" s="11" t="n">
        <v>45597</v>
      </c>
      <c r="C144" s="5" t="n">
        <v>70332.1750289</v>
      </c>
      <c r="D144" s="4" t="n">
        <v>106064.1</v>
      </c>
      <c r="E144" s="4" t="n">
        <v>84834.7</v>
      </c>
      <c r="F144" s="4" t="n">
        <v>14502.5249711</v>
      </c>
      <c r="G144" s="4" t="n">
        <v>69230.9</v>
      </c>
      <c r="H144" s="4" t="n">
        <v>97498.6</v>
      </c>
      <c r="I144" s="5" t="n">
        <v>5668054.1</v>
      </c>
      <c r="J144" s="5" t="n">
        <v>1875254.73</v>
      </c>
      <c r="K144" s="4" t="n">
        <v>55468.73</v>
      </c>
      <c r="L144" s="4" t="n">
        <v>1131806.92447759</v>
      </c>
    </row>
    <row r="145" customFormat="false" ht="15" hidden="false" customHeight="false" outlineLevel="0" collapsed="false">
      <c r="A145" s="4" t="s">
        <v>44</v>
      </c>
      <c r="B145" s="11" t="n">
        <v>45627</v>
      </c>
      <c r="C145" s="5" t="n">
        <v>80588.879309</v>
      </c>
      <c r="D145" s="4" t="n">
        <v>121111.4</v>
      </c>
      <c r="E145" s="4" t="n">
        <v>85597.7</v>
      </c>
      <c r="F145" s="4" t="n">
        <v>5008.820691</v>
      </c>
      <c r="G145" s="4" t="n">
        <v>79317.1</v>
      </c>
      <c r="H145" s="4" t="n">
        <v>111440.3</v>
      </c>
      <c r="I145" s="5" t="n">
        <v>5996065.3</v>
      </c>
      <c r="J145" s="5" t="n">
        <v>1978492.55</v>
      </c>
      <c r="K145" s="4" t="n">
        <v>46055.09</v>
      </c>
      <c r="L145" s="4" t="n">
        <v>351993.14143949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1" customFormat="false" ht="15" hidden="false" customHeight="false" outlineLevel="0" collapsed="false">
      <c r="A1" s="12" t="s">
        <v>29</v>
      </c>
      <c r="B1" s="12" t="s">
        <v>31</v>
      </c>
      <c r="C1" s="12" t="s">
        <v>33</v>
      </c>
      <c r="D1" s="12" t="s">
        <v>34</v>
      </c>
      <c r="E1" s="12" t="s">
        <v>45</v>
      </c>
      <c r="F1" s="12" t="s">
        <v>37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40</v>
      </c>
    </row>
    <row r="2" customFormat="false" ht="15" hidden="false" customHeight="false" outlineLevel="0" collapsed="false">
      <c r="A2" s="4" t="s">
        <v>41</v>
      </c>
      <c r="B2" s="5" t="n">
        <f aca="false">SUMIFS(Field_Monthly!$C$2:$C$145,Field_Monthly!$A$2:$A$145,$A2)</f>
        <v>4358664.5506099</v>
      </c>
      <c r="C2" s="5" t="n">
        <f aca="false">SUMIFS(Field_Monthly!$E$2:$E$145,Field_Monthly!$A$2:$A$145,$A2)</f>
        <v>4776026.5</v>
      </c>
      <c r="D2" s="5" t="n">
        <f aca="false">SUMIFS(Field_Monthly!$F$2:$F$145,Field_Monthly!$A$2:$A$145,$A2)</f>
        <v>417362.0227561</v>
      </c>
      <c r="E2" s="6" t="n">
        <f aca="false">D2/C2</f>
        <v>0.0873868733257866</v>
      </c>
      <c r="F2" s="5" t="n">
        <f aca="false">SUMIFS(Field_Monthly!$I$2:$I$145,Field_Monthly!$A$2:$A$145,$A2)</f>
        <v>312935638.36</v>
      </c>
      <c r="G2" s="5" t="n">
        <f aca="false">SUMIFS(Field_Monthly!$J$2:$J$145,Field_Monthly!$A$2:$A$145,$A2)</f>
        <v>95069746.49</v>
      </c>
      <c r="H2" s="8" t="n">
        <f aca="false">G2/SUMIFS(Field_Monthly!$G$2:$G$145,Field_Monthly!$A$2:$A$145,$A2)</f>
        <v>22.1369655431985</v>
      </c>
      <c r="I2" s="8" t="n">
        <f aca="false">G2/(SUMIFS(Field_Monthly!$G$2:$G$145,Field_Monthly!$A$2:$A$145,$A2)+SUMIFS(Field_Monthly!$H$2:$H$145,Field_Monthly!$A$2:$A$145,$A2)/Assumptions!$B$3)</f>
        <v>18.9771039854719</v>
      </c>
      <c r="J2" s="5" t="n">
        <f aca="false">F2-G2</f>
        <v>217865891.87</v>
      </c>
      <c r="K2" s="5" t="n">
        <f aca="false">SUMIFS(Field_Monthly!$L$2:$L$145,Field_Monthly!$A$2:$A$145,$A2)</f>
        <v>28821085.848939</v>
      </c>
    </row>
    <row r="3" customFormat="false" ht="15" hidden="false" customHeight="false" outlineLevel="0" collapsed="false">
      <c r="A3" s="4" t="s">
        <v>42</v>
      </c>
      <c r="B3" s="5" t="n">
        <f aca="false">SUMIFS(Field_Monthly!$C$2:$C$145,Field_Monthly!$A$2:$A$145,$A3)</f>
        <v>3937987.829937</v>
      </c>
      <c r="C3" s="5" t="n">
        <f aca="false">SUMIFS(Field_Monthly!$E$2:$E$145,Field_Monthly!$A$2:$A$145,$A3)</f>
        <v>4385875.1</v>
      </c>
      <c r="D3" s="5" t="n">
        <f aca="false">SUMIFS(Field_Monthly!$F$2:$F$145,Field_Monthly!$A$2:$A$145,$A3)</f>
        <v>447887.3428759</v>
      </c>
      <c r="E3" s="6" t="n">
        <f aca="false">D3/C3</f>
        <v>0.102120405315669</v>
      </c>
      <c r="F3" s="5" t="n">
        <f aca="false">SUMIFS(Field_Monthly!$I$2:$I$145,Field_Monthly!$A$2:$A$145,$A3)</f>
        <v>285803519.33</v>
      </c>
      <c r="G3" s="5" t="n">
        <f aca="false">SUMIFS(Field_Monthly!$J$2:$J$145,Field_Monthly!$A$2:$A$145,$A3)</f>
        <v>87120079.31</v>
      </c>
      <c r="H3" s="8" t="n">
        <f aca="false">G3/SUMIFS(Field_Monthly!$G$2:$G$145,Field_Monthly!$A$2:$A$145,$A3)</f>
        <v>22.4634790394943</v>
      </c>
      <c r="I3" s="8" t="n">
        <f aca="false">G3/(SUMIFS(Field_Monthly!$G$2:$G$145,Field_Monthly!$A$2:$A$145,$A3)+SUMIFS(Field_Monthly!$H$2:$H$145,Field_Monthly!$A$2:$A$145,$A3)/Assumptions!$B$3)</f>
        <v>19.4245279927048</v>
      </c>
      <c r="J3" s="5" t="n">
        <f aca="false">F3-G3</f>
        <v>198683440.02</v>
      </c>
      <c r="K3" s="5" t="n">
        <f aca="false">SUMIFS(Field_Monthly!$L$2:$L$145,Field_Monthly!$A$2:$A$145,$A3)</f>
        <v>31570569.3155102</v>
      </c>
    </row>
    <row r="4" customFormat="false" ht="15" hidden="false" customHeight="false" outlineLevel="0" collapsed="false">
      <c r="A4" s="4" t="s">
        <v>43</v>
      </c>
      <c r="B4" s="5" t="n">
        <f aca="false">SUMIFS(Field_Monthly!$C$2:$C$145,Field_Monthly!$A$2:$A$145,$A4)</f>
        <v>2708874.3292901</v>
      </c>
      <c r="C4" s="5" t="n">
        <f aca="false">SUMIFS(Field_Monthly!$E$2:$E$145,Field_Monthly!$A$2:$A$145,$A4)</f>
        <v>2991164.4</v>
      </c>
      <c r="D4" s="5" t="n">
        <f aca="false">SUMIFS(Field_Monthly!$F$2:$F$145,Field_Monthly!$A$2:$A$145,$A4)</f>
        <v>282290.0987443</v>
      </c>
      <c r="E4" s="6" t="n">
        <f aca="false">D4/C4</f>
        <v>0.0943746518059322</v>
      </c>
      <c r="F4" s="5" t="n">
        <f aca="false">SUMIFS(Field_Monthly!$I$2:$I$145,Field_Monthly!$A$2:$A$145,$A4)</f>
        <v>186422389.9</v>
      </c>
      <c r="G4" s="5" t="n">
        <f aca="false">SUMIFS(Field_Monthly!$J$2:$J$145,Field_Monthly!$A$2:$A$145,$A4)</f>
        <v>68759913.57</v>
      </c>
      <c r="H4" s="8" t="n">
        <f aca="false">G4/SUMIFS(Field_Monthly!$G$2:$G$145,Field_Monthly!$A$2:$A$145,$A4)</f>
        <v>25.7317296051368</v>
      </c>
      <c r="I4" s="8" t="n">
        <f aca="false">G4/(SUMIFS(Field_Monthly!$G$2:$G$145,Field_Monthly!$A$2:$A$145,$A4)+SUMIFS(Field_Monthly!$H$2:$H$145,Field_Monthly!$A$2:$A$145,$A4)/Assumptions!$B$3)</f>
        <v>21.8157468041445</v>
      </c>
      <c r="J4" s="5" t="n">
        <f aca="false">F4-G4</f>
        <v>117662476.33</v>
      </c>
      <c r="K4" s="5" t="n">
        <f aca="false">SUMIFS(Field_Monthly!$L$2:$L$145,Field_Monthly!$A$2:$A$145,$A4)</f>
        <v>18655136.0649468</v>
      </c>
    </row>
    <row r="5" customFormat="false" ht="15" hidden="false" customHeight="false" outlineLevel="0" collapsed="false">
      <c r="A5" s="4" t="s">
        <v>44</v>
      </c>
      <c r="B5" s="5" t="n">
        <f aca="false">SUMIFS(Field_Monthly!$C$2:$C$145,Field_Monthly!$A$2:$A$145,$A5)</f>
        <v>2346772.3487303</v>
      </c>
      <c r="C5" s="5" t="n">
        <f aca="false">SUMIFS(Field_Monthly!$E$2:$E$145,Field_Monthly!$A$2:$A$145,$A5)</f>
        <v>2583361.7</v>
      </c>
      <c r="D5" s="5" t="n">
        <f aca="false">SUMIFS(Field_Monthly!$F$2:$F$145,Field_Monthly!$A$2:$A$145,$A5)</f>
        <v>236589.4387812</v>
      </c>
      <c r="E5" s="6" t="n">
        <f aca="false">D5/C5</f>
        <v>0.0915820029309872</v>
      </c>
      <c r="F5" s="5" t="n">
        <f aca="false">SUMIFS(Field_Monthly!$I$2:$I$145,Field_Monthly!$A$2:$A$145,$A5)</f>
        <v>170987447.98</v>
      </c>
      <c r="G5" s="5" t="n">
        <f aca="false">SUMIFS(Field_Monthly!$J$2:$J$145,Field_Monthly!$A$2:$A$145,$A5)</f>
        <v>63286875.12</v>
      </c>
      <c r="H5" s="8" t="n">
        <f aca="false">G5/SUMIFS(Field_Monthly!$G$2:$G$145,Field_Monthly!$A$2:$A$145,$A5)</f>
        <v>27.3462256780386</v>
      </c>
      <c r="I5" s="8" t="n">
        <f aca="false">G5/(SUMIFS(Field_Monthly!$G$2:$G$145,Field_Monthly!$A$2:$A$145,$A5)+SUMIFS(Field_Monthly!$H$2:$H$145,Field_Monthly!$A$2:$A$145,$A5)/Assumptions!$B$3)</f>
        <v>22.2977891596424</v>
      </c>
      <c r="J5" s="5" t="n">
        <f aca="false">F5-G5</f>
        <v>107700572.86</v>
      </c>
      <c r="K5" s="5" t="n">
        <f aca="false">SUMIFS(Field_Monthly!$L$2:$L$145,Field_Monthly!$A$2:$A$145,$A5)</f>
        <v>16497998.5256556</v>
      </c>
    </row>
    <row r="6" customFormat="false" ht="15" hidden="false" customHeight="false" outlineLevel="0" collapsed="false">
      <c r="A6" s="13" t="s">
        <v>50</v>
      </c>
      <c r="B6" s="14" t="n">
        <f aca="false">SUM(B2:B5)</f>
        <v>13352299.0585673</v>
      </c>
      <c r="C6" s="14" t="n">
        <f aca="false">SUM(C2:C5)</f>
        <v>14736427.7</v>
      </c>
      <c r="D6" s="14" t="n">
        <f aca="false">SUM(D2:D5)</f>
        <v>1384128.9031575</v>
      </c>
      <c r="E6" s="15" t="n">
        <f aca="false">D6/C6</f>
        <v>0.093925673937755</v>
      </c>
      <c r="F6" s="14" t="n">
        <f aca="false">SUM(F2:F5)</f>
        <v>956148995.57</v>
      </c>
      <c r="G6" s="14" t="n">
        <f aca="false">SUM(G2:G5)</f>
        <v>314236614.49</v>
      </c>
      <c r="J6" s="14" t="n">
        <f aca="false">SUM(J2:J5)</f>
        <v>641912381.08</v>
      </c>
      <c r="K6" s="14" t="n">
        <f aca="false">SUM(K2:K5)</f>
        <v>95544789.7550516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6.85" hidden="false" customHeight="false" outlineLevel="0" collapsed="false">
      <c r="A1" s="9" t="s">
        <v>51</v>
      </c>
      <c r="B1" s="9" t="s">
        <v>52</v>
      </c>
      <c r="C1" s="9" t="s">
        <v>53</v>
      </c>
      <c r="D1" s="9" t="s">
        <v>29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9" t="s">
        <v>59</v>
      </c>
      <c r="K1" s="12" t="s">
        <v>60</v>
      </c>
      <c r="L1" s="12" t="s">
        <v>61</v>
      </c>
      <c r="M1" s="12" t="s">
        <v>62</v>
      </c>
    </row>
    <row r="2" customFormat="false" ht="15" hidden="false" customHeight="false" outlineLevel="0" collapsed="false">
      <c r="A2" s="4" t="s">
        <v>63</v>
      </c>
      <c r="B2" s="4" t="s">
        <v>64</v>
      </c>
      <c r="C2" s="4" t="s">
        <v>65</v>
      </c>
      <c r="D2" s="4" t="s">
        <v>41</v>
      </c>
      <c r="E2" s="4" t="s">
        <v>66</v>
      </c>
      <c r="F2" s="4" t="n">
        <v>8</v>
      </c>
      <c r="G2" s="4" t="n">
        <v>239.27</v>
      </c>
      <c r="H2" s="4" t="n">
        <v>167.95</v>
      </c>
      <c r="I2" s="4" t="n">
        <v>26304</v>
      </c>
      <c r="J2" s="5" t="n">
        <v>125650.46</v>
      </c>
      <c r="K2" s="8" t="n">
        <f aca="false">100*(I2-G2)/I2</f>
        <v>99.0903664841849</v>
      </c>
      <c r="L2" s="5" t="n">
        <f aca="false">IF(F2&gt;0,(I2-G2)/F2,"")</f>
        <v>3258.09125</v>
      </c>
      <c r="M2" s="7" t="n">
        <f aca="false">IF(F2&gt;0,H2/F2,"")</f>
        <v>20.99375</v>
      </c>
    </row>
    <row r="3" customFormat="false" ht="15" hidden="false" customHeight="false" outlineLevel="0" collapsed="false">
      <c r="A3" s="4" t="s">
        <v>67</v>
      </c>
      <c r="B3" s="4" t="s">
        <v>68</v>
      </c>
      <c r="C3" s="4" t="s">
        <v>65</v>
      </c>
      <c r="D3" s="4" t="s">
        <v>41</v>
      </c>
      <c r="E3" s="4" t="s">
        <v>66</v>
      </c>
      <c r="F3" s="4" t="n">
        <v>13</v>
      </c>
      <c r="G3" s="4" t="n">
        <v>264.78</v>
      </c>
      <c r="H3" s="4" t="n">
        <v>190.03</v>
      </c>
      <c r="I3" s="4" t="n">
        <v>26304</v>
      </c>
      <c r="J3" s="5" t="n">
        <v>202572.34</v>
      </c>
      <c r="K3" s="8" t="n">
        <f aca="false">100*(I3-G3)/I3</f>
        <v>98.9933850364964</v>
      </c>
      <c r="L3" s="5" t="n">
        <f aca="false">IF(F3&gt;0,(I3-G3)/F3,"")</f>
        <v>2003.01692307692</v>
      </c>
      <c r="M3" s="7" t="n">
        <f aca="false">IF(F3&gt;0,H3/F3,"")</f>
        <v>14.6176923076923</v>
      </c>
    </row>
    <row r="4" customFormat="false" ht="15" hidden="false" customHeight="false" outlineLevel="0" collapsed="false">
      <c r="A4" s="4" t="s">
        <v>69</v>
      </c>
      <c r="B4" s="4" t="s">
        <v>70</v>
      </c>
      <c r="C4" s="4" t="s">
        <v>65</v>
      </c>
      <c r="D4" s="4" t="s">
        <v>41</v>
      </c>
      <c r="E4" s="4" t="s">
        <v>66</v>
      </c>
      <c r="F4" s="4" t="n">
        <v>9</v>
      </c>
      <c r="G4" s="4" t="n">
        <v>280.81</v>
      </c>
      <c r="H4" s="4" t="n">
        <v>194.47</v>
      </c>
      <c r="I4" s="4" t="n">
        <v>26304</v>
      </c>
      <c r="J4" s="5" t="n">
        <v>153794.75</v>
      </c>
      <c r="K4" s="8" t="n">
        <f aca="false">100*(I4-G4)/I4</f>
        <v>98.9324437347932</v>
      </c>
      <c r="L4" s="5" t="n">
        <f aca="false">IF(F4&gt;0,(I4-G4)/F4,"")</f>
        <v>2891.46555555556</v>
      </c>
      <c r="M4" s="7" t="n">
        <f aca="false">IF(F4&gt;0,H4/F4,"")</f>
        <v>21.6077777777778</v>
      </c>
    </row>
    <row r="5" customFormat="false" ht="15" hidden="false" customHeight="false" outlineLevel="0" collapsed="false">
      <c r="A5" s="4" t="s">
        <v>71</v>
      </c>
      <c r="B5" s="4" t="s">
        <v>72</v>
      </c>
      <c r="C5" s="4" t="s">
        <v>65</v>
      </c>
      <c r="D5" s="4" t="s">
        <v>41</v>
      </c>
      <c r="E5" s="4" t="s">
        <v>66</v>
      </c>
      <c r="F5" s="4" t="n">
        <v>13</v>
      </c>
      <c r="G5" s="4" t="n">
        <v>384.34</v>
      </c>
      <c r="H5" s="4" t="n">
        <v>311.58</v>
      </c>
      <c r="I5" s="4" t="n">
        <v>26304</v>
      </c>
      <c r="J5" s="5" t="n">
        <v>221848.6</v>
      </c>
      <c r="K5" s="8" t="n">
        <f aca="false">100*(I5-G5)/I5</f>
        <v>98.538853406326</v>
      </c>
      <c r="L5" s="5" t="n">
        <f aca="false">IF(F5&gt;0,(I5-G5)/F5,"")</f>
        <v>1993.82</v>
      </c>
      <c r="M5" s="7" t="n">
        <f aca="false">IF(F5&gt;0,H5/F5,"")</f>
        <v>23.9676923076923</v>
      </c>
    </row>
    <row r="6" customFormat="false" ht="15" hidden="false" customHeight="false" outlineLevel="0" collapsed="false">
      <c r="A6" s="4" t="s">
        <v>73</v>
      </c>
      <c r="B6" s="4" t="s">
        <v>74</v>
      </c>
      <c r="C6" s="4" t="s">
        <v>75</v>
      </c>
      <c r="D6" s="4" t="s">
        <v>41</v>
      </c>
      <c r="E6" s="4" t="s">
        <v>76</v>
      </c>
      <c r="F6" s="4" t="n">
        <v>11</v>
      </c>
      <c r="G6" s="4" t="n">
        <v>518.26</v>
      </c>
      <c r="H6" s="4" t="n">
        <v>396.31</v>
      </c>
      <c r="I6" s="4" t="n">
        <v>26304</v>
      </c>
      <c r="J6" s="5" t="n">
        <v>350545.17</v>
      </c>
      <c r="K6" s="8" t="n">
        <f aca="false">100*(I6-G6)/I6</f>
        <v>98.0297293187348</v>
      </c>
      <c r="L6" s="5" t="n">
        <f aca="false">IF(F6&gt;0,(I6-G6)/F6,"")</f>
        <v>2344.15818181818</v>
      </c>
      <c r="M6" s="7" t="n">
        <f aca="false">IF(F6&gt;0,H6/F6,"")</f>
        <v>36.0281818181818</v>
      </c>
    </row>
    <row r="7" customFormat="false" ht="15" hidden="false" customHeight="false" outlineLevel="0" collapsed="false">
      <c r="A7" s="4" t="s">
        <v>77</v>
      </c>
      <c r="B7" s="4" t="s">
        <v>78</v>
      </c>
      <c r="C7" s="4" t="s">
        <v>75</v>
      </c>
      <c r="D7" s="4" t="s">
        <v>41</v>
      </c>
      <c r="E7" s="4" t="s">
        <v>76</v>
      </c>
      <c r="F7" s="4" t="n">
        <v>10</v>
      </c>
      <c r="G7" s="4" t="n">
        <v>513.47</v>
      </c>
      <c r="H7" s="4" t="n">
        <v>389.25</v>
      </c>
      <c r="I7" s="4" t="n">
        <v>26304</v>
      </c>
      <c r="J7" s="5" t="n">
        <v>351927.69</v>
      </c>
      <c r="K7" s="8" t="n">
        <f aca="false">100*(I7-G7)/I7</f>
        <v>98.0479394768857</v>
      </c>
      <c r="L7" s="5" t="n">
        <f aca="false">IF(F7&gt;0,(I7-G7)/F7,"")</f>
        <v>2579.053</v>
      </c>
      <c r="M7" s="7" t="n">
        <f aca="false">IF(F7&gt;0,H7/F7,"")</f>
        <v>38.925</v>
      </c>
    </row>
    <row r="8" customFormat="false" ht="15" hidden="false" customHeight="false" outlineLevel="0" collapsed="false">
      <c r="A8" s="4" t="s">
        <v>79</v>
      </c>
      <c r="B8" s="4" t="s">
        <v>80</v>
      </c>
      <c r="C8" s="4" t="s">
        <v>81</v>
      </c>
      <c r="D8" s="4" t="s">
        <v>41</v>
      </c>
      <c r="E8" s="4" t="s">
        <v>76</v>
      </c>
      <c r="F8" s="4" t="n">
        <v>5</v>
      </c>
      <c r="G8" s="4" t="n">
        <v>229.41</v>
      </c>
      <c r="H8" s="4" t="n">
        <v>149.35</v>
      </c>
      <c r="I8" s="4" t="n">
        <v>26304</v>
      </c>
      <c r="J8" s="5" t="n">
        <v>149266.79</v>
      </c>
      <c r="K8" s="8" t="n">
        <f aca="false">100*(I8-G8)/I8</f>
        <v>99.1278512773723</v>
      </c>
      <c r="L8" s="5" t="n">
        <f aca="false">IF(F8&gt;0,(I8-G8)/F8,"")</f>
        <v>5214.918</v>
      </c>
      <c r="M8" s="7" t="n">
        <f aca="false">IF(F8&gt;0,H8/F8,"")</f>
        <v>29.87</v>
      </c>
    </row>
    <row r="9" customFormat="false" ht="15" hidden="false" customHeight="false" outlineLevel="0" collapsed="false">
      <c r="A9" s="4" t="s">
        <v>82</v>
      </c>
      <c r="B9" s="4" t="s">
        <v>83</v>
      </c>
      <c r="C9" s="4" t="s">
        <v>81</v>
      </c>
      <c r="D9" s="4" t="s">
        <v>41</v>
      </c>
      <c r="E9" s="4" t="s">
        <v>66</v>
      </c>
      <c r="F9" s="4" t="n">
        <v>7</v>
      </c>
      <c r="G9" s="4" t="n">
        <v>192.28</v>
      </c>
      <c r="H9" s="4" t="n">
        <v>125.48</v>
      </c>
      <c r="I9" s="4" t="n">
        <v>26304</v>
      </c>
      <c r="J9" s="5" t="n">
        <v>168077.42</v>
      </c>
      <c r="K9" s="8" t="n">
        <f aca="false">100*(I9-G9)/I9</f>
        <v>99.2690085158151</v>
      </c>
      <c r="L9" s="5" t="n">
        <f aca="false">IF(F9&gt;0,(I9-G9)/F9,"")</f>
        <v>3730.24571428571</v>
      </c>
      <c r="M9" s="7" t="n">
        <f aca="false">IF(F9&gt;0,H9/F9,"")</f>
        <v>17.9257142857143</v>
      </c>
    </row>
    <row r="10" customFormat="false" ht="15" hidden="false" customHeight="false" outlineLevel="0" collapsed="false">
      <c r="A10" s="4" t="s">
        <v>84</v>
      </c>
      <c r="B10" s="4" t="s">
        <v>85</v>
      </c>
      <c r="C10" s="4" t="s">
        <v>86</v>
      </c>
      <c r="D10" s="4" t="s">
        <v>41</v>
      </c>
      <c r="E10" s="4" t="s">
        <v>76</v>
      </c>
      <c r="F10" s="4" t="n">
        <v>7</v>
      </c>
      <c r="G10" s="4" t="n">
        <v>176.65</v>
      </c>
      <c r="H10" s="4" t="n">
        <v>104.28</v>
      </c>
      <c r="I10" s="4" t="n">
        <v>26304</v>
      </c>
      <c r="J10" s="5" t="n">
        <v>112435.06</v>
      </c>
      <c r="K10" s="8" t="n">
        <f aca="false">100*(I10-G10)/I10</f>
        <v>99.328429136253</v>
      </c>
      <c r="L10" s="5" t="n">
        <f aca="false">IF(F10&gt;0,(I10-G10)/F10,"")</f>
        <v>3732.47857142857</v>
      </c>
      <c r="M10" s="7" t="n">
        <f aca="false">IF(F10&gt;0,H10/F10,"")</f>
        <v>14.8971428571429</v>
      </c>
    </row>
    <row r="11" customFormat="false" ht="15" hidden="false" customHeight="false" outlineLevel="0" collapsed="false">
      <c r="A11" s="4" t="s">
        <v>87</v>
      </c>
      <c r="B11" s="4" t="s">
        <v>88</v>
      </c>
      <c r="C11" s="4" t="s">
        <v>89</v>
      </c>
      <c r="D11" s="4" t="s">
        <v>41</v>
      </c>
      <c r="E11" s="4" t="s">
        <v>90</v>
      </c>
      <c r="F11" s="4" t="n">
        <v>3</v>
      </c>
      <c r="G11" s="4" t="n">
        <v>103.68</v>
      </c>
      <c r="H11" s="4" t="n">
        <v>29.95</v>
      </c>
      <c r="I11" s="4" t="n">
        <v>26304</v>
      </c>
      <c r="J11" s="5" t="n">
        <v>131625.04</v>
      </c>
      <c r="K11" s="8" t="n">
        <f aca="false">100*(I11-G11)/I11</f>
        <v>99.6058394160584</v>
      </c>
      <c r="L11" s="5" t="n">
        <f aca="false">IF(F11&gt;0,(I11-G11)/F11,"")</f>
        <v>8733.44</v>
      </c>
      <c r="M11" s="7" t="n">
        <f aca="false">IF(F11&gt;0,H11/F11,"")</f>
        <v>9.98333333333333</v>
      </c>
    </row>
    <row r="12" customFormat="false" ht="15" hidden="false" customHeight="false" outlineLevel="0" collapsed="false">
      <c r="A12" s="4" t="s">
        <v>91</v>
      </c>
      <c r="B12" s="4" t="s">
        <v>92</v>
      </c>
      <c r="C12" s="4" t="s">
        <v>93</v>
      </c>
      <c r="D12" s="4" t="s">
        <v>41</v>
      </c>
      <c r="E12" s="4" t="s">
        <v>66</v>
      </c>
      <c r="F12" s="4" t="n">
        <v>4</v>
      </c>
      <c r="G12" s="4" t="n">
        <v>282.87</v>
      </c>
      <c r="H12" s="4" t="n">
        <v>212.02</v>
      </c>
      <c r="I12" s="4" t="n">
        <v>26304</v>
      </c>
      <c r="J12" s="5" t="n">
        <v>102908.25</v>
      </c>
      <c r="K12" s="8" t="n">
        <f aca="false">100*(I12-G12)/I12</f>
        <v>98.9246122262774</v>
      </c>
      <c r="L12" s="5" t="n">
        <f aca="false">IF(F12&gt;0,(I12-G12)/F12,"")</f>
        <v>6505.2825</v>
      </c>
      <c r="M12" s="7" t="n">
        <f aca="false">IF(F12&gt;0,H12/F12,"")</f>
        <v>53.005</v>
      </c>
    </row>
    <row r="13" customFormat="false" ht="15" hidden="false" customHeight="false" outlineLevel="0" collapsed="false">
      <c r="A13" s="4" t="s">
        <v>94</v>
      </c>
      <c r="B13" s="4" t="s">
        <v>95</v>
      </c>
      <c r="C13" s="4" t="s">
        <v>96</v>
      </c>
      <c r="D13" s="4" t="s">
        <v>41</v>
      </c>
      <c r="E13" s="4" t="s">
        <v>66</v>
      </c>
      <c r="F13" s="4" t="n">
        <v>2</v>
      </c>
      <c r="G13" s="4" t="n">
        <v>111.99</v>
      </c>
      <c r="H13" s="4" t="n">
        <v>48.01</v>
      </c>
      <c r="I13" s="4" t="n">
        <v>26304</v>
      </c>
      <c r="J13" s="5" t="n">
        <v>77905.56</v>
      </c>
      <c r="K13" s="8" t="n">
        <f aca="false">100*(I13-G13)/I13</f>
        <v>99.5742472627737</v>
      </c>
      <c r="L13" s="5" t="n">
        <f aca="false">IF(F13&gt;0,(I13-G13)/F13,"")</f>
        <v>13096.005</v>
      </c>
      <c r="M13" s="7" t="n">
        <f aca="false">IF(F13&gt;0,H13/F13,"")</f>
        <v>24.005</v>
      </c>
    </row>
    <row r="14" customFormat="false" ht="15" hidden="false" customHeight="false" outlineLevel="0" collapsed="false">
      <c r="A14" s="4" t="s">
        <v>97</v>
      </c>
      <c r="B14" s="4" t="s">
        <v>98</v>
      </c>
      <c r="C14" s="4" t="s">
        <v>65</v>
      </c>
      <c r="D14" s="4" t="s">
        <v>42</v>
      </c>
      <c r="E14" s="4" t="s">
        <v>90</v>
      </c>
      <c r="F14" s="4" t="n">
        <v>12</v>
      </c>
      <c r="G14" s="4" t="n">
        <v>374.82</v>
      </c>
      <c r="H14" s="4" t="n">
        <v>288.17</v>
      </c>
      <c r="I14" s="4" t="n">
        <v>26304</v>
      </c>
      <c r="J14" s="5" t="n">
        <v>223881.33</v>
      </c>
      <c r="K14" s="8" t="n">
        <f aca="false">100*(I14-G14)/I14</f>
        <v>98.575045620438</v>
      </c>
      <c r="L14" s="5" t="n">
        <f aca="false">IF(F14&gt;0,(I14-G14)/F14,"")</f>
        <v>2160.765</v>
      </c>
      <c r="M14" s="7" t="n">
        <f aca="false">IF(F14&gt;0,H14/F14,"")</f>
        <v>24.0141666666667</v>
      </c>
    </row>
    <row r="15" customFormat="false" ht="15" hidden="false" customHeight="false" outlineLevel="0" collapsed="false">
      <c r="A15" s="4" t="s">
        <v>99</v>
      </c>
      <c r="B15" s="4" t="s">
        <v>100</v>
      </c>
      <c r="C15" s="4" t="s">
        <v>65</v>
      </c>
      <c r="D15" s="4" t="s">
        <v>42</v>
      </c>
      <c r="E15" s="4" t="s">
        <v>66</v>
      </c>
      <c r="F15" s="4" t="n">
        <v>13</v>
      </c>
      <c r="G15" s="4" t="n">
        <v>354.86</v>
      </c>
      <c r="H15" s="4" t="n">
        <v>272.27</v>
      </c>
      <c r="I15" s="4" t="n">
        <v>26304</v>
      </c>
      <c r="J15" s="5" t="n">
        <v>169813.07</v>
      </c>
      <c r="K15" s="8" t="n">
        <f aca="false">100*(I15-G15)/I15</f>
        <v>98.6509276155718</v>
      </c>
      <c r="L15" s="5" t="n">
        <f aca="false">IF(F15&gt;0,(I15-G15)/F15,"")</f>
        <v>1996.08769230769</v>
      </c>
      <c r="M15" s="7" t="n">
        <f aca="false">IF(F15&gt;0,H15/F15,"")</f>
        <v>20.9438461538462</v>
      </c>
    </row>
    <row r="16" customFormat="false" ht="15" hidden="false" customHeight="false" outlineLevel="0" collapsed="false">
      <c r="A16" s="4" t="s">
        <v>101</v>
      </c>
      <c r="B16" s="4" t="s">
        <v>102</v>
      </c>
      <c r="C16" s="4" t="s">
        <v>65</v>
      </c>
      <c r="D16" s="4" t="s">
        <v>42</v>
      </c>
      <c r="E16" s="4" t="s">
        <v>66</v>
      </c>
      <c r="F16" s="4" t="n">
        <v>15</v>
      </c>
      <c r="G16" s="4" t="n">
        <v>368.63</v>
      </c>
      <c r="H16" s="4" t="n">
        <v>306.18</v>
      </c>
      <c r="I16" s="4" t="n">
        <v>26304</v>
      </c>
      <c r="J16" s="5" t="n">
        <v>266841.8</v>
      </c>
      <c r="K16" s="8" t="n">
        <f aca="false">100*(I16-G16)/I16</f>
        <v>98.598578163017</v>
      </c>
      <c r="L16" s="5" t="n">
        <f aca="false">IF(F16&gt;0,(I16-G16)/F16,"")</f>
        <v>1729.02466666667</v>
      </c>
      <c r="M16" s="7" t="n">
        <f aca="false">IF(F16&gt;0,H16/F16,"")</f>
        <v>20.412</v>
      </c>
    </row>
    <row r="17" customFormat="false" ht="15" hidden="false" customHeight="false" outlineLevel="0" collapsed="false">
      <c r="A17" s="4" t="s">
        <v>103</v>
      </c>
      <c r="B17" s="4" t="s">
        <v>104</v>
      </c>
      <c r="C17" s="4" t="s">
        <v>65</v>
      </c>
      <c r="D17" s="4" t="s">
        <v>42</v>
      </c>
      <c r="E17" s="4" t="s">
        <v>66</v>
      </c>
      <c r="F17" s="4" t="n">
        <v>16</v>
      </c>
      <c r="G17" s="4" t="n">
        <v>419.26</v>
      </c>
      <c r="H17" s="4" t="n">
        <v>341.78</v>
      </c>
      <c r="I17" s="4" t="n">
        <v>26304</v>
      </c>
      <c r="J17" s="5" t="n">
        <v>347280.21</v>
      </c>
      <c r="K17" s="8" t="n">
        <f aca="false">100*(I17-G17)/I17</f>
        <v>98.4060979318735</v>
      </c>
      <c r="L17" s="5" t="n">
        <f aca="false">IF(F17&gt;0,(I17-G17)/F17,"")</f>
        <v>1617.79625</v>
      </c>
      <c r="M17" s="7" t="n">
        <f aca="false">IF(F17&gt;0,H17/F17,"")</f>
        <v>21.36125</v>
      </c>
    </row>
    <row r="18" customFormat="false" ht="15" hidden="false" customHeight="false" outlineLevel="0" collapsed="false">
      <c r="A18" s="4" t="s">
        <v>105</v>
      </c>
      <c r="B18" s="4" t="s">
        <v>106</v>
      </c>
      <c r="C18" s="4" t="s">
        <v>75</v>
      </c>
      <c r="D18" s="4" t="s">
        <v>42</v>
      </c>
      <c r="E18" s="4" t="s">
        <v>76</v>
      </c>
      <c r="F18" s="4" t="n">
        <v>7</v>
      </c>
      <c r="G18" s="4" t="n">
        <v>376.31</v>
      </c>
      <c r="H18" s="4" t="n">
        <v>260.44</v>
      </c>
      <c r="I18" s="4" t="n">
        <v>26304</v>
      </c>
      <c r="J18" s="5" t="n">
        <v>408435.34</v>
      </c>
      <c r="K18" s="8" t="n">
        <f aca="false">100*(I18-G18)/I18</f>
        <v>98.5693810827251</v>
      </c>
      <c r="L18" s="5" t="n">
        <f aca="false">IF(F18&gt;0,(I18-G18)/F18,"")</f>
        <v>3703.95571428571</v>
      </c>
      <c r="M18" s="7" t="n">
        <f aca="false">IF(F18&gt;0,H18/F18,"")</f>
        <v>37.2057142857143</v>
      </c>
    </row>
    <row r="19" customFormat="false" ht="15" hidden="false" customHeight="false" outlineLevel="0" collapsed="false">
      <c r="A19" s="4" t="s">
        <v>107</v>
      </c>
      <c r="B19" s="4" t="s">
        <v>108</v>
      </c>
      <c r="C19" s="4" t="s">
        <v>75</v>
      </c>
      <c r="D19" s="4" t="s">
        <v>42</v>
      </c>
      <c r="E19" s="4" t="s">
        <v>76</v>
      </c>
      <c r="F19" s="4" t="n">
        <v>12</v>
      </c>
      <c r="G19" s="4" t="n">
        <v>631.86</v>
      </c>
      <c r="H19" s="4" t="n">
        <v>521.13</v>
      </c>
      <c r="I19" s="4" t="n">
        <v>26304</v>
      </c>
      <c r="J19" s="5" t="n">
        <v>372856.56</v>
      </c>
      <c r="K19" s="8" t="n">
        <f aca="false">100*(I19-G19)/I19</f>
        <v>97.5978558394161</v>
      </c>
      <c r="L19" s="5" t="n">
        <f aca="false">IF(F19&gt;0,(I19-G19)/F19,"")</f>
        <v>2139.345</v>
      </c>
      <c r="M19" s="7" t="n">
        <f aca="false">IF(F19&gt;0,H19/F19,"")</f>
        <v>43.4275</v>
      </c>
    </row>
    <row r="20" customFormat="false" ht="15" hidden="false" customHeight="false" outlineLevel="0" collapsed="false">
      <c r="A20" s="4" t="s">
        <v>109</v>
      </c>
      <c r="B20" s="4" t="s">
        <v>110</v>
      </c>
      <c r="C20" s="4" t="s">
        <v>81</v>
      </c>
      <c r="D20" s="4" t="s">
        <v>42</v>
      </c>
      <c r="E20" s="4" t="s">
        <v>76</v>
      </c>
      <c r="F20" s="4" t="n">
        <v>9</v>
      </c>
      <c r="G20" s="4" t="n">
        <v>422.22</v>
      </c>
      <c r="H20" s="4" t="n">
        <v>335.02</v>
      </c>
      <c r="I20" s="4" t="n">
        <v>26304</v>
      </c>
      <c r="J20" s="5" t="n">
        <v>308561.97</v>
      </c>
      <c r="K20" s="8" t="n">
        <f aca="false">100*(I20-G20)/I20</f>
        <v>98.394844890511</v>
      </c>
      <c r="L20" s="5" t="n">
        <f aca="false">IF(F20&gt;0,(I20-G20)/F20,"")</f>
        <v>2875.75333333333</v>
      </c>
      <c r="M20" s="7" t="n">
        <f aca="false">IF(F20&gt;0,H20/F20,"")</f>
        <v>37.2244444444444</v>
      </c>
    </row>
    <row r="21" customFormat="false" ht="15" hidden="false" customHeight="false" outlineLevel="0" collapsed="false">
      <c r="A21" s="4" t="s">
        <v>111</v>
      </c>
      <c r="B21" s="4" t="s">
        <v>112</v>
      </c>
      <c r="C21" s="4" t="s">
        <v>81</v>
      </c>
      <c r="D21" s="4" t="s">
        <v>42</v>
      </c>
      <c r="E21" s="4" t="s">
        <v>76</v>
      </c>
      <c r="F21" s="4" t="n">
        <v>3</v>
      </c>
      <c r="G21" s="4" t="n">
        <v>130.53</v>
      </c>
      <c r="H21" s="4" t="n">
        <v>58.17</v>
      </c>
      <c r="I21" s="4" t="n">
        <v>26304</v>
      </c>
      <c r="J21" s="5" t="n">
        <v>180888.95</v>
      </c>
      <c r="K21" s="8" t="n">
        <f aca="false">100*(I21-G21)/I21</f>
        <v>99.5037636861314</v>
      </c>
      <c r="L21" s="5" t="n">
        <f aca="false">IF(F21&gt;0,(I21-G21)/F21,"")</f>
        <v>8724.49</v>
      </c>
      <c r="M21" s="7" t="n">
        <f aca="false">IF(F21&gt;0,H21/F21,"")</f>
        <v>19.39</v>
      </c>
    </row>
    <row r="22" customFormat="false" ht="15" hidden="false" customHeight="false" outlineLevel="0" collapsed="false">
      <c r="A22" s="4" t="s">
        <v>113</v>
      </c>
      <c r="B22" s="4" t="s">
        <v>114</v>
      </c>
      <c r="C22" s="4" t="s">
        <v>86</v>
      </c>
      <c r="D22" s="4" t="s">
        <v>42</v>
      </c>
      <c r="E22" s="4" t="s">
        <v>76</v>
      </c>
      <c r="F22" s="4" t="n">
        <v>10</v>
      </c>
      <c r="G22" s="4" t="n">
        <v>348.34</v>
      </c>
      <c r="H22" s="4" t="n">
        <v>269.84</v>
      </c>
      <c r="I22" s="4" t="n">
        <v>26304</v>
      </c>
      <c r="J22" s="5" t="n">
        <v>155163.54</v>
      </c>
      <c r="K22" s="8" t="n">
        <f aca="false">100*(I22-G22)/I22</f>
        <v>98.6757147201947</v>
      </c>
      <c r="L22" s="5" t="n">
        <f aca="false">IF(F22&gt;0,(I22-G22)/F22,"")</f>
        <v>2595.566</v>
      </c>
      <c r="M22" s="7" t="n">
        <f aca="false">IF(F22&gt;0,H22/F22,"")</f>
        <v>26.984</v>
      </c>
    </row>
    <row r="23" customFormat="false" ht="15" hidden="false" customHeight="false" outlineLevel="0" collapsed="false">
      <c r="A23" s="4" t="s">
        <v>115</v>
      </c>
      <c r="B23" s="4" t="s">
        <v>116</v>
      </c>
      <c r="C23" s="4" t="s">
        <v>89</v>
      </c>
      <c r="D23" s="4" t="s">
        <v>42</v>
      </c>
      <c r="E23" s="4" t="s">
        <v>90</v>
      </c>
      <c r="F23" s="4" t="n">
        <v>7</v>
      </c>
      <c r="G23" s="4" t="n">
        <v>141.23</v>
      </c>
      <c r="H23" s="4" t="n">
        <v>69.06</v>
      </c>
      <c r="I23" s="4" t="n">
        <v>26304</v>
      </c>
      <c r="J23" s="5" t="n">
        <v>194085.76</v>
      </c>
      <c r="K23" s="8" t="n">
        <f aca="false">100*(I23-G23)/I23</f>
        <v>99.4630854622871</v>
      </c>
      <c r="L23" s="5" t="n">
        <f aca="false">IF(F23&gt;0,(I23-G23)/F23,"")</f>
        <v>3737.53857142857</v>
      </c>
      <c r="M23" s="7" t="n">
        <f aca="false">IF(F23&gt;0,H23/F23,"")</f>
        <v>9.86571428571429</v>
      </c>
    </row>
    <row r="24" customFormat="false" ht="15" hidden="false" customHeight="false" outlineLevel="0" collapsed="false">
      <c r="A24" s="4" t="s">
        <v>117</v>
      </c>
      <c r="B24" s="4" t="s">
        <v>118</v>
      </c>
      <c r="C24" s="4" t="s">
        <v>93</v>
      </c>
      <c r="D24" s="4" t="s">
        <v>42</v>
      </c>
      <c r="E24" s="4" t="s">
        <v>76</v>
      </c>
      <c r="F24" s="4" t="n">
        <v>5</v>
      </c>
      <c r="G24" s="4" t="n">
        <v>196.58</v>
      </c>
      <c r="H24" s="4" t="n">
        <v>134.53</v>
      </c>
      <c r="I24" s="4" t="n">
        <v>26304</v>
      </c>
      <c r="J24" s="5" t="n">
        <v>127445.27</v>
      </c>
      <c r="K24" s="8" t="n">
        <f aca="false">100*(I24-G24)/I24</f>
        <v>99.2526611922141</v>
      </c>
      <c r="L24" s="5" t="n">
        <f aca="false">IF(F24&gt;0,(I24-G24)/F24,"")</f>
        <v>5221.484</v>
      </c>
      <c r="M24" s="7" t="n">
        <f aca="false">IF(F24&gt;0,H24/F24,"")</f>
        <v>26.906</v>
      </c>
    </row>
    <row r="25" customFormat="false" ht="15" hidden="false" customHeight="false" outlineLevel="0" collapsed="false">
      <c r="A25" s="4" t="s">
        <v>119</v>
      </c>
      <c r="B25" s="4" t="s">
        <v>120</v>
      </c>
      <c r="C25" s="4" t="s">
        <v>96</v>
      </c>
      <c r="D25" s="4" t="s">
        <v>42</v>
      </c>
      <c r="E25" s="4" t="s">
        <v>76</v>
      </c>
      <c r="F25" s="4" t="n">
        <v>6</v>
      </c>
      <c r="G25" s="4" t="n">
        <v>339.58</v>
      </c>
      <c r="H25" s="4" t="n">
        <v>251.72</v>
      </c>
      <c r="I25" s="4" t="n">
        <v>26304</v>
      </c>
      <c r="J25" s="5" t="n">
        <v>179489.1</v>
      </c>
      <c r="K25" s="8" t="n">
        <f aca="false">100*(I25-G25)/I25</f>
        <v>98.7090176399027</v>
      </c>
      <c r="L25" s="5" t="n">
        <f aca="false">IF(F25&gt;0,(I25-G25)/F25,"")</f>
        <v>4327.40333333333</v>
      </c>
      <c r="M25" s="7" t="n">
        <f aca="false">IF(F25&gt;0,H25/F25,"")</f>
        <v>41.9533333333333</v>
      </c>
    </row>
    <row r="26" customFormat="false" ht="15" hidden="false" customHeight="false" outlineLevel="0" collapsed="false">
      <c r="A26" s="4" t="s">
        <v>121</v>
      </c>
      <c r="B26" s="4" t="s">
        <v>122</v>
      </c>
      <c r="C26" s="4" t="s">
        <v>65</v>
      </c>
      <c r="D26" s="4" t="s">
        <v>43</v>
      </c>
      <c r="E26" s="4" t="s">
        <v>66</v>
      </c>
      <c r="F26" s="4" t="n">
        <v>12</v>
      </c>
      <c r="G26" s="4" t="n">
        <v>337.34</v>
      </c>
      <c r="H26" s="4" t="n">
        <v>263.26</v>
      </c>
      <c r="I26" s="4" t="n">
        <v>26304</v>
      </c>
      <c r="J26" s="5" t="n">
        <v>197834.7</v>
      </c>
      <c r="K26" s="8" t="n">
        <f aca="false">100*(I26-G26)/I26</f>
        <v>98.7175334549878</v>
      </c>
      <c r="L26" s="5" t="n">
        <f aca="false">IF(F26&gt;0,(I26-G26)/F26,"")</f>
        <v>2163.88833333333</v>
      </c>
      <c r="M26" s="7" t="n">
        <f aca="false">IF(F26&gt;0,H26/F26,"")</f>
        <v>21.9383333333333</v>
      </c>
    </row>
    <row r="27" customFormat="false" ht="15" hidden="false" customHeight="false" outlineLevel="0" collapsed="false">
      <c r="A27" s="4" t="s">
        <v>123</v>
      </c>
      <c r="B27" s="4" t="s">
        <v>124</v>
      </c>
      <c r="C27" s="4" t="s">
        <v>65</v>
      </c>
      <c r="D27" s="4" t="s">
        <v>43</v>
      </c>
      <c r="E27" s="4" t="s">
        <v>66</v>
      </c>
      <c r="F27" s="4" t="n">
        <v>10</v>
      </c>
      <c r="G27" s="4" t="n">
        <v>371.44</v>
      </c>
      <c r="H27" s="4" t="n">
        <v>296.05</v>
      </c>
      <c r="I27" s="4" t="n">
        <v>26304</v>
      </c>
      <c r="J27" s="5" t="n">
        <v>167359.17</v>
      </c>
      <c r="K27" s="8" t="n">
        <f aca="false">100*(I27-G27)/I27</f>
        <v>98.587895377129</v>
      </c>
      <c r="L27" s="5" t="n">
        <f aca="false">IF(F27&gt;0,(I27-G27)/F27,"")</f>
        <v>2593.256</v>
      </c>
      <c r="M27" s="7" t="n">
        <f aca="false">IF(F27&gt;0,H27/F27,"")</f>
        <v>29.605</v>
      </c>
    </row>
    <row r="28" customFormat="false" ht="15" hidden="false" customHeight="false" outlineLevel="0" collapsed="false">
      <c r="A28" s="4" t="s">
        <v>125</v>
      </c>
      <c r="B28" s="4" t="s">
        <v>126</v>
      </c>
      <c r="C28" s="4" t="s">
        <v>65</v>
      </c>
      <c r="D28" s="4" t="s">
        <v>43</v>
      </c>
      <c r="E28" s="4" t="s">
        <v>66</v>
      </c>
      <c r="F28" s="4" t="n">
        <v>11</v>
      </c>
      <c r="G28" s="4" t="n">
        <v>537.84</v>
      </c>
      <c r="H28" s="4" t="n">
        <v>460.85</v>
      </c>
      <c r="I28" s="4" t="n">
        <v>26304</v>
      </c>
      <c r="J28" s="5" t="n">
        <v>257474.22</v>
      </c>
      <c r="K28" s="8" t="n">
        <f aca="false">100*(I28-G28)/I28</f>
        <v>97.9552919708029</v>
      </c>
      <c r="L28" s="5" t="n">
        <f aca="false">IF(F28&gt;0,(I28-G28)/F28,"")</f>
        <v>2342.37818181818</v>
      </c>
      <c r="M28" s="7" t="n">
        <f aca="false">IF(F28&gt;0,H28/F28,"")</f>
        <v>41.8954545454546</v>
      </c>
    </row>
    <row r="29" customFormat="false" ht="15" hidden="false" customHeight="false" outlineLevel="0" collapsed="false">
      <c r="A29" s="4" t="s">
        <v>127</v>
      </c>
      <c r="B29" s="4" t="s">
        <v>128</v>
      </c>
      <c r="C29" s="4" t="s">
        <v>65</v>
      </c>
      <c r="D29" s="4" t="s">
        <v>43</v>
      </c>
      <c r="E29" s="4" t="s">
        <v>66</v>
      </c>
      <c r="F29" s="4" t="n">
        <v>14</v>
      </c>
      <c r="G29" s="4" t="n">
        <v>404.19</v>
      </c>
      <c r="H29" s="4" t="n">
        <v>327.15</v>
      </c>
      <c r="I29" s="4" t="n">
        <v>26304</v>
      </c>
      <c r="J29" s="5" t="n">
        <v>252647.45</v>
      </c>
      <c r="K29" s="8" t="n">
        <f aca="false">100*(I29-G29)/I29</f>
        <v>98.4633895985402</v>
      </c>
      <c r="L29" s="5" t="n">
        <f aca="false">IF(F29&gt;0,(I29-G29)/F29,"")</f>
        <v>1849.98642857143</v>
      </c>
      <c r="M29" s="7" t="n">
        <f aca="false">IF(F29&gt;0,H29/F29,"")</f>
        <v>23.3678571428571</v>
      </c>
    </row>
    <row r="30" customFormat="false" ht="15" hidden="false" customHeight="false" outlineLevel="0" collapsed="false">
      <c r="A30" s="4" t="s">
        <v>129</v>
      </c>
      <c r="B30" s="4" t="s">
        <v>130</v>
      </c>
      <c r="C30" s="4" t="s">
        <v>75</v>
      </c>
      <c r="D30" s="4" t="s">
        <v>43</v>
      </c>
      <c r="E30" s="4" t="s">
        <v>76</v>
      </c>
      <c r="F30" s="4" t="n">
        <v>9</v>
      </c>
      <c r="G30" s="4" t="n">
        <v>427.87</v>
      </c>
      <c r="H30" s="4" t="n">
        <v>295.44</v>
      </c>
      <c r="I30" s="4" t="n">
        <v>26304</v>
      </c>
      <c r="J30" s="5" t="n">
        <v>358233.65</v>
      </c>
      <c r="K30" s="8" t="n">
        <f aca="false">100*(I30-G30)/I30</f>
        <v>98.3733652676399</v>
      </c>
      <c r="L30" s="5" t="n">
        <f aca="false">IF(F30&gt;0,(I30-G30)/F30,"")</f>
        <v>2875.12555555556</v>
      </c>
      <c r="M30" s="7" t="n">
        <f aca="false">IF(F30&gt;0,H30/F30,"")</f>
        <v>32.8266666666667</v>
      </c>
    </row>
    <row r="31" customFormat="false" ht="15" hidden="false" customHeight="false" outlineLevel="0" collapsed="false">
      <c r="A31" s="4" t="s">
        <v>131</v>
      </c>
      <c r="B31" s="4" t="s">
        <v>132</v>
      </c>
      <c r="C31" s="4" t="s">
        <v>75</v>
      </c>
      <c r="D31" s="4" t="s">
        <v>43</v>
      </c>
      <c r="E31" s="4" t="s">
        <v>76</v>
      </c>
      <c r="F31" s="4" t="n">
        <v>10</v>
      </c>
      <c r="G31" s="4" t="n">
        <v>506.12</v>
      </c>
      <c r="H31" s="4" t="n">
        <v>415.42</v>
      </c>
      <c r="I31" s="4" t="n">
        <v>26304</v>
      </c>
      <c r="J31" s="5" t="n">
        <v>441367.05</v>
      </c>
      <c r="K31" s="8" t="n">
        <f aca="false">100*(I31-G31)/I31</f>
        <v>98.0758819951338</v>
      </c>
      <c r="L31" s="5" t="n">
        <f aca="false">IF(F31&gt;0,(I31-G31)/F31,"")</f>
        <v>2579.788</v>
      </c>
      <c r="M31" s="7" t="n">
        <f aca="false">IF(F31&gt;0,H31/F31,"")</f>
        <v>41.542</v>
      </c>
    </row>
    <row r="32" customFormat="false" ht="15" hidden="false" customHeight="false" outlineLevel="0" collapsed="false">
      <c r="A32" s="4" t="s">
        <v>133</v>
      </c>
      <c r="B32" s="4" t="s">
        <v>134</v>
      </c>
      <c r="C32" s="4" t="s">
        <v>81</v>
      </c>
      <c r="D32" s="4" t="s">
        <v>43</v>
      </c>
      <c r="E32" s="4" t="s">
        <v>76</v>
      </c>
      <c r="F32" s="4" t="n">
        <v>7</v>
      </c>
      <c r="G32" s="4" t="n">
        <v>251.85</v>
      </c>
      <c r="H32" s="4" t="n">
        <v>189.04</v>
      </c>
      <c r="I32" s="4" t="n">
        <v>26304</v>
      </c>
      <c r="J32" s="5" t="n">
        <v>201050.44</v>
      </c>
      <c r="K32" s="8" t="n">
        <f aca="false">100*(I32-G32)/I32</f>
        <v>99.0425410583942</v>
      </c>
      <c r="L32" s="5" t="n">
        <f aca="false">IF(F32&gt;0,(I32-G32)/F32,"")</f>
        <v>3721.73571428571</v>
      </c>
      <c r="M32" s="7" t="n">
        <f aca="false">IF(F32&gt;0,H32/F32,"")</f>
        <v>27.0057142857143</v>
      </c>
    </row>
    <row r="33" customFormat="false" ht="15" hidden="false" customHeight="false" outlineLevel="0" collapsed="false">
      <c r="A33" s="4" t="s">
        <v>135</v>
      </c>
      <c r="B33" s="4" t="s">
        <v>136</v>
      </c>
      <c r="C33" s="4" t="s">
        <v>81</v>
      </c>
      <c r="D33" s="4" t="s">
        <v>43</v>
      </c>
      <c r="E33" s="4" t="s">
        <v>66</v>
      </c>
      <c r="F33" s="4" t="n">
        <v>2</v>
      </c>
      <c r="G33" s="4" t="n">
        <v>119.83</v>
      </c>
      <c r="H33" s="4" t="n">
        <v>33.75</v>
      </c>
      <c r="I33" s="4" t="n">
        <v>26304</v>
      </c>
      <c r="J33" s="5" t="n">
        <v>118601.85</v>
      </c>
      <c r="K33" s="8" t="n">
        <f aca="false">100*(I33-G33)/I33</f>
        <v>99.5444419099757</v>
      </c>
      <c r="L33" s="5" t="n">
        <f aca="false">IF(F33&gt;0,(I33-G33)/F33,"")</f>
        <v>13092.085</v>
      </c>
      <c r="M33" s="7" t="n">
        <f aca="false">IF(F33&gt;0,H33/F33,"")</f>
        <v>16.875</v>
      </c>
    </row>
    <row r="34" customFormat="false" ht="15" hidden="false" customHeight="false" outlineLevel="0" collapsed="false">
      <c r="A34" s="4" t="s">
        <v>137</v>
      </c>
      <c r="B34" s="4" t="s">
        <v>138</v>
      </c>
      <c r="C34" s="4" t="s">
        <v>86</v>
      </c>
      <c r="D34" s="4" t="s">
        <v>43</v>
      </c>
      <c r="E34" s="4" t="s">
        <v>76</v>
      </c>
      <c r="F34" s="4" t="n">
        <v>5</v>
      </c>
      <c r="G34" s="4" t="n">
        <v>164.78</v>
      </c>
      <c r="H34" s="4" t="n">
        <v>77.61</v>
      </c>
      <c r="I34" s="4" t="n">
        <v>26304</v>
      </c>
      <c r="J34" s="5" t="n">
        <v>74630.92</v>
      </c>
      <c r="K34" s="8" t="n">
        <f aca="false">100*(I34-G34)/I34</f>
        <v>99.3735553527981</v>
      </c>
      <c r="L34" s="5" t="n">
        <f aca="false">IF(F34&gt;0,(I34-G34)/F34,"")</f>
        <v>5227.844</v>
      </c>
      <c r="M34" s="7" t="n">
        <f aca="false">IF(F34&gt;0,H34/F34,"")</f>
        <v>15.522</v>
      </c>
    </row>
    <row r="35" customFormat="false" ht="15" hidden="false" customHeight="false" outlineLevel="0" collapsed="false">
      <c r="A35" s="4" t="s">
        <v>139</v>
      </c>
      <c r="B35" s="4" t="s">
        <v>140</v>
      </c>
      <c r="C35" s="4" t="s">
        <v>89</v>
      </c>
      <c r="D35" s="4" t="s">
        <v>43</v>
      </c>
      <c r="E35" s="4" t="s">
        <v>90</v>
      </c>
      <c r="F35" s="4" t="n">
        <v>4</v>
      </c>
      <c r="G35" s="4" t="n">
        <v>98.82</v>
      </c>
      <c r="H35" s="4" t="n">
        <v>20.06</v>
      </c>
      <c r="I35" s="4" t="n">
        <v>26304</v>
      </c>
      <c r="J35" s="5" t="n">
        <v>129894.41</v>
      </c>
      <c r="K35" s="8" t="n">
        <f aca="false">100*(I35-G35)/I35</f>
        <v>99.6243156934307</v>
      </c>
      <c r="L35" s="5" t="n">
        <f aca="false">IF(F35&gt;0,(I35-G35)/F35,"")</f>
        <v>6551.295</v>
      </c>
      <c r="M35" s="7" t="n">
        <f aca="false">IF(F35&gt;0,H35/F35,"")</f>
        <v>5.015</v>
      </c>
    </row>
    <row r="36" customFormat="false" ht="15" hidden="false" customHeight="false" outlineLevel="0" collapsed="false">
      <c r="A36" s="4" t="s">
        <v>141</v>
      </c>
      <c r="B36" s="4" t="s">
        <v>142</v>
      </c>
      <c r="C36" s="4" t="s">
        <v>93</v>
      </c>
      <c r="D36" s="4" t="s">
        <v>43</v>
      </c>
      <c r="E36" s="4" t="s">
        <v>66</v>
      </c>
      <c r="F36" s="4" t="n">
        <v>2</v>
      </c>
      <c r="G36" s="4" t="n">
        <v>109.67</v>
      </c>
      <c r="H36" s="4" t="n">
        <v>41.09</v>
      </c>
      <c r="I36" s="4" t="n">
        <v>26304</v>
      </c>
      <c r="J36" s="5" t="n">
        <v>86706.74</v>
      </c>
      <c r="K36" s="8" t="n">
        <f aca="false">100*(I36-G36)/I36</f>
        <v>99.5830672141119</v>
      </c>
      <c r="L36" s="5" t="n">
        <f aca="false">IF(F36&gt;0,(I36-G36)/F36,"")</f>
        <v>13097.165</v>
      </c>
      <c r="M36" s="7" t="n">
        <f aca="false">IF(F36&gt;0,H36/F36,"")</f>
        <v>20.545</v>
      </c>
    </row>
    <row r="37" customFormat="false" ht="15" hidden="false" customHeight="false" outlineLevel="0" collapsed="false">
      <c r="A37" s="4" t="s">
        <v>143</v>
      </c>
      <c r="B37" s="4" t="s">
        <v>144</v>
      </c>
      <c r="C37" s="4" t="s">
        <v>96</v>
      </c>
      <c r="D37" s="4" t="s">
        <v>43</v>
      </c>
      <c r="E37" s="4" t="s">
        <v>66</v>
      </c>
      <c r="F37" s="4" t="n">
        <v>6</v>
      </c>
      <c r="G37" s="4" t="n">
        <v>187.74</v>
      </c>
      <c r="H37" s="4" t="n">
        <v>118.76</v>
      </c>
      <c r="I37" s="4" t="n">
        <v>26304</v>
      </c>
      <c r="J37" s="5" t="n">
        <v>100902.35</v>
      </c>
      <c r="K37" s="8" t="n">
        <f aca="false">100*(I37-G37)/I37</f>
        <v>99.2862682481752</v>
      </c>
      <c r="L37" s="5" t="n">
        <f aca="false">IF(F37&gt;0,(I37-G37)/F37,"")</f>
        <v>4352.71</v>
      </c>
      <c r="M37" s="7" t="n">
        <f aca="false">IF(F37&gt;0,H37/F37,"")</f>
        <v>19.7933333333333</v>
      </c>
    </row>
    <row r="38" customFormat="false" ht="15" hidden="false" customHeight="false" outlineLevel="0" collapsed="false">
      <c r="A38" s="4" t="s">
        <v>145</v>
      </c>
      <c r="B38" s="4" t="s">
        <v>146</v>
      </c>
      <c r="C38" s="4" t="s">
        <v>65</v>
      </c>
      <c r="D38" s="4" t="s">
        <v>44</v>
      </c>
      <c r="E38" s="4" t="s">
        <v>66</v>
      </c>
      <c r="F38" s="4" t="n">
        <v>9</v>
      </c>
      <c r="G38" s="4" t="n">
        <v>222.63</v>
      </c>
      <c r="H38" s="4" t="n">
        <v>161.15</v>
      </c>
      <c r="I38" s="4" t="n">
        <v>26304</v>
      </c>
      <c r="J38" s="5" t="n">
        <v>134755.29</v>
      </c>
      <c r="K38" s="8" t="n">
        <f aca="false">100*(I38-G38)/I38</f>
        <v>99.1536268248175</v>
      </c>
      <c r="L38" s="5" t="n">
        <f aca="false">IF(F38&gt;0,(I38-G38)/F38,"")</f>
        <v>2897.93</v>
      </c>
      <c r="M38" s="7" t="n">
        <f aca="false">IF(F38&gt;0,H38/F38,"")</f>
        <v>17.9055555555556</v>
      </c>
    </row>
    <row r="39" customFormat="false" ht="15" hidden="false" customHeight="false" outlineLevel="0" collapsed="false">
      <c r="A39" s="4" t="s">
        <v>147</v>
      </c>
      <c r="B39" s="4" t="s">
        <v>148</v>
      </c>
      <c r="C39" s="4" t="s">
        <v>65</v>
      </c>
      <c r="D39" s="4" t="s">
        <v>44</v>
      </c>
      <c r="E39" s="4" t="s">
        <v>66</v>
      </c>
      <c r="F39" s="4" t="n">
        <v>8</v>
      </c>
      <c r="G39" s="4" t="n">
        <v>260.72</v>
      </c>
      <c r="H39" s="4" t="n">
        <v>195.78</v>
      </c>
      <c r="I39" s="4" t="n">
        <v>26304</v>
      </c>
      <c r="J39" s="5" t="n">
        <v>210660.6</v>
      </c>
      <c r="K39" s="8" t="n">
        <f aca="false">100*(I39-G39)/I39</f>
        <v>99.0088199513382</v>
      </c>
      <c r="L39" s="5" t="n">
        <f aca="false">IF(F39&gt;0,(I39-G39)/F39,"")</f>
        <v>3255.41</v>
      </c>
      <c r="M39" s="7" t="n">
        <f aca="false">IF(F39&gt;0,H39/F39,"")</f>
        <v>24.4725</v>
      </c>
    </row>
    <row r="40" customFormat="false" ht="15" hidden="false" customHeight="false" outlineLevel="0" collapsed="false">
      <c r="A40" s="4" t="s">
        <v>149</v>
      </c>
      <c r="B40" s="4" t="s">
        <v>150</v>
      </c>
      <c r="C40" s="4" t="s">
        <v>65</v>
      </c>
      <c r="D40" s="4" t="s">
        <v>44</v>
      </c>
      <c r="E40" s="4" t="s">
        <v>76</v>
      </c>
      <c r="F40" s="4" t="n">
        <v>20</v>
      </c>
      <c r="G40" s="4" t="n">
        <v>456.93</v>
      </c>
      <c r="H40" s="4" t="n">
        <v>371.68</v>
      </c>
      <c r="I40" s="4" t="n">
        <v>26304</v>
      </c>
      <c r="J40" s="5" t="n">
        <v>241110.51</v>
      </c>
      <c r="K40" s="8" t="n">
        <f aca="false">100*(I40-G40)/I40</f>
        <v>98.2628877737226</v>
      </c>
      <c r="L40" s="5" t="n">
        <f aca="false">IF(F40&gt;0,(I40-G40)/F40,"")</f>
        <v>1292.3535</v>
      </c>
      <c r="M40" s="7" t="n">
        <f aca="false">IF(F40&gt;0,H40/F40,"")</f>
        <v>18.584</v>
      </c>
    </row>
    <row r="41" customFormat="false" ht="15" hidden="false" customHeight="false" outlineLevel="0" collapsed="false">
      <c r="A41" s="4" t="s">
        <v>151</v>
      </c>
      <c r="B41" s="4" t="s">
        <v>152</v>
      </c>
      <c r="C41" s="4" t="s">
        <v>65</v>
      </c>
      <c r="D41" s="4" t="s">
        <v>44</v>
      </c>
      <c r="E41" s="4" t="s">
        <v>76</v>
      </c>
      <c r="F41" s="4" t="n">
        <v>16</v>
      </c>
      <c r="G41" s="4" t="n">
        <v>412.48</v>
      </c>
      <c r="H41" s="4" t="n">
        <v>342.96</v>
      </c>
      <c r="I41" s="4" t="n">
        <v>26304</v>
      </c>
      <c r="J41" s="5" t="n">
        <v>194386.89</v>
      </c>
      <c r="K41" s="8" t="n">
        <f aca="false">100*(I41-G41)/I41</f>
        <v>98.4318734793187</v>
      </c>
      <c r="L41" s="5" t="n">
        <f aca="false">IF(F41&gt;0,(I41-G41)/F41,"")</f>
        <v>1618.22</v>
      </c>
      <c r="M41" s="7" t="n">
        <f aca="false">IF(F41&gt;0,H41/F41,"")</f>
        <v>21.435</v>
      </c>
    </row>
    <row r="42" customFormat="false" ht="15" hidden="false" customHeight="false" outlineLevel="0" collapsed="false">
      <c r="A42" s="4" t="s">
        <v>153</v>
      </c>
      <c r="B42" s="4" t="s">
        <v>154</v>
      </c>
      <c r="C42" s="4" t="s">
        <v>75</v>
      </c>
      <c r="D42" s="4" t="s">
        <v>44</v>
      </c>
      <c r="E42" s="4" t="s">
        <v>66</v>
      </c>
      <c r="F42" s="4" t="n">
        <v>7</v>
      </c>
      <c r="G42" s="4" t="n">
        <v>326.91</v>
      </c>
      <c r="H42" s="4" t="n">
        <v>214.35</v>
      </c>
      <c r="I42" s="4" t="n">
        <v>26304</v>
      </c>
      <c r="J42" s="5" t="n">
        <v>249468.94</v>
      </c>
      <c r="K42" s="8" t="n">
        <f aca="false">100*(I42-G42)/I42</f>
        <v>98.7571852189781</v>
      </c>
      <c r="L42" s="5" t="n">
        <f aca="false">IF(F42&gt;0,(I42-G42)/F42,"")</f>
        <v>3711.01285714286</v>
      </c>
      <c r="M42" s="7" t="n">
        <f aca="false">IF(F42&gt;0,H42/F42,"")</f>
        <v>30.6214285714286</v>
      </c>
    </row>
    <row r="43" customFormat="false" ht="15" hidden="false" customHeight="false" outlineLevel="0" collapsed="false">
      <c r="A43" s="4" t="s">
        <v>155</v>
      </c>
      <c r="B43" s="4" t="s">
        <v>156</v>
      </c>
      <c r="C43" s="4" t="s">
        <v>75</v>
      </c>
      <c r="D43" s="4" t="s">
        <v>44</v>
      </c>
      <c r="E43" s="4" t="s">
        <v>66</v>
      </c>
      <c r="F43" s="4" t="n">
        <v>14</v>
      </c>
      <c r="G43" s="4" t="n">
        <v>552.65</v>
      </c>
      <c r="H43" s="4" t="n">
        <v>441.19</v>
      </c>
      <c r="I43" s="4" t="n">
        <v>26304</v>
      </c>
      <c r="J43" s="5" t="n">
        <v>317505.79</v>
      </c>
      <c r="K43" s="8" t="n">
        <f aca="false">100*(I43-G43)/I43</f>
        <v>97.8989887469586</v>
      </c>
      <c r="L43" s="5" t="n">
        <f aca="false">IF(F43&gt;0,(I43-G43)/F43,"")</f>
        <v>1839.38214285714</v>
      </c>
      <c r="M43" s="7" t="n">
        <f aca="false">IF(F43&gt;0,H43/F43,"")</f>
        <v>31.5135714285714</v>
      </c>
    </row>
    <row r="44" customFormat="false" ht="15" hidden="false" customHeight="false" outlineLevel="0" collapsed="false">
      <c r="A44" s="4" t="s">
        <v>157</v>
      </c>
      <c r="B44" s="4" t="s">
        <v>158</v>
      </c>
      <c r="C44" s="4" t="s">
        <v>81</v>
      </c>
      <c r="D44" s="4" t="s">
        <v>44</v>
      </c>
      <c r="E44" s="4" t="s">
        <v>76</v>
      </c>
      <c r="F44" s="4" t="n">
        <v>3</v>
      </c>
      <c r="G44" s="4" t="n">
        <v>158.54</v>
      </c>
      <c r="H44" s="4" t="n">
        <v>107.16</v>
      </c>
      <c r="I44" s="4" t="n">
        <v>26304</v>
      </c>
      <c r="J44" s="5" t="n">
        <v>125975.31</v>
      </c>
      <c r="K44" s="8" t="n">
        <f aca="false">100*(I44-G44)/I44</f>
        <v>99.3972779805353</v>
      </c>
      <c r="L44" s="5" t="n">
        <f aca="false">IF(F44&gt;0,(I44-G44)/F44,"")</f>
        <v>8715.15333333333</v>
      </c>
      <c r="M44" s="7" t="n">
        <f aca="false">IF(F44&gt;0,H44/F44,"")</f>
        <v>35.72</v>
      </c>
    </row>
    <row r="45" customFormat="false" ht="15" hidden="false" customHeight="false" outlineLevel="0" collapsed="false">
      <c r="A45" s="4" t="s">
        <v>159</v>
      </c>
      <c r="B45" s="4" t="s">
        <v>160</v>
      </c>
      <c r="C45" s="4" t="s">
        <v>81</v>
      </c>
      <c r="D45" s="4" t="s">
        <v>44</v>
      </c>
      <c r="E45" s="4" t="s">
        <v>76</v>
      </c>
      <c r="F45" s="4" t="n">
        <v>7</v>
      </c>
      <c r="G45" s="4" t="n">
        <v>277.14</v>
      </c>
      <c r="H45" s="4" t="n">
        <v>189.67</v>
      </c>
      <c r="I45" s="4" t="n">
        <v>26304</v>
      </c>
      <c r="J45" s="5" t="n">
        <v>207322.49</v>
      </c>
      <c r="K45" s="8" t="n">
        <f aca="false">100*(I45-G45)/I45</f>
        <v>98.9463959854015</v>
      </c>
      <c r="L45" s="5" t="n">
        <f aca="false">IF(F45&gt;0,(I45-G45)/F45,"")</f>
        <v>3718.12285714286</v>
      </c>
      <c r="M45" s="7" t="n">
        <f aca="false">IF(F45&gt;0,H45/F45,"")</f>
        <v>27.0957142857143</v>
      </c>
    </row>
    <row r="46" customFormat="false" ht="15" hidden="false" customHeight="false" outlineLevel="0" collapsed="false">
      <c r="A46" s="4" t="s">
        <v>161</v>
      </c>
      <c r="B46" s="4" t="s">
        <v>162</v>
      </c>
      <c r="C46" s="4" t="s">
        <v>86</v>
      </c>
      <c r="D46" s="4" t="s">
        <v>44</v>
      </c>
      <c r="E46" s="4" t="s">
        <v>66</v>
      </c>
      <c r="F46" s="4" t="n">
        <v>13</v>
      </c>
      <c r="G46" s="4" t="n">
        <v>265.22</v>
      </c>
      <c r="H46" s="4" t="n">
        <v>201.03</v>
      </c>
      <c r="I46" s="4" t="n">
        <v>26304</v>
      </c>
      <c r="J46" s="5" t="n">
        <v>155614.2</v>
      </c>
      <c r="K46" s="8" t="n">
        <f aca="false">100*(I46-G46)/I46</f>
        <v>98.9917122871046</v>
      </c>
      <c r="L46" s="5" t="n">
        <f aca="false">IF(F46&gt;0,(I46-G46)/F46,"")</f>
        <v>2002.98307692308</v>
      </c>
      <c r="M46" s="7" t="n">
        <f aca="false">IF(F46&gt;0,H46/F46,"")</f>
        <v>15.4638461538462</v>
      </c>
    </row>
    <row r="47" customFormat="false" ht="15" hidden="false" customHeight="false" outlineLevel="0" collapsed="false">
      <c r="A47" s="4" t="s">
        <v>163</v>
      </c>
      <c r="B47" s="4" t="s">
        <v>164</v>
      </c>
      <c r="C47" s="4" t="s">
        <v>89</v>
      </c>
      <c r="D47" s="4" t="s">
        <v>44</v>
      </c>
      <c r="E47" s="4" t="s">
        <v>90</v>
      </c>
      <c r="F47" s="4" t="n">
        <v>8</v>
      </c>
      <c r="G47" s="4" t="n">
        <v>146.9</v>
      </c>
      <c r="H47" s="4" t="n">
        <v>77.12</v>
      </c>
      <c r="I47" s="4" t="n">
        <v>26304</v>
      </c>
      <c r="J47" s="5" t="n">
        <v>175699.43</v>
      </c>
      <c r="K47" s="8" t="n">
        <f aca="false">100*(I47-G47)/I47</f>
        <v>99.4415298053528</v>
      </c>
      <c r="L47" s="5" t="n">
        <f aca="false">IF(F47&gt;0,(I47-G47)/F47,"")</f>
        <v>3269.6375</v>
      </c>
      <c r="M47" s="7" t="n">
        <f aca="false">IF(F47&gt;0,H47/F47,"")</f>
        <v>9.64</v>
      </c>
    </row>
    <row r="48" customFormat="false" ht="15" hidden="false" customHeight="false" outlineLevel="0" collapsed="false">
      <c r="A48" s="4" t="s">
        <v>165</v>
      </c>
      <c r="B48" s="4" t="s">
        <v>166</v>
      </c>
      <c r="C48" s="4" t="s">
        <v>93</v>
      </c>
      <c r="D48" s="4" t="s">
        <v>44</v>
      </c>
      <c r="E48" s="4" t="s">
        <v>66</v>
      </c>
      <c r="F48" s="4" t="n">
        <v>3</v>
      </c>
      <c r="G48" s="4" t="n">
        <v>113.93</v>
      </c>
      <c r="H48" s="4" t="n">
        <v>34.9</v>
      </c>
      <c r="I48" s="4" t="n">
        <v>26304</v>
      </c>
      <c r="J48" s="5" t="n">
        <v>80978.37</v>
      </c>
      <c r="K48" s="8" t="n">
        <f aca="false">100*(I48-G48)/I48</f>
        <v>99.5668719586375</v>
      </c>
      <c r="L48" s="5" t="n">
        <f aca="false">IF(F48&gt;0,(I48-G48)/F48,"")</f>
        <v>8730.02333333333</v>
      </c>
      <c r="M48" s="7" t="n">
        <f aca="false">IF(F48&gt;0,H48/F48,"")</f>
        <v>11.6333333333333</v>
      </c>
    </row>
    <row r="49" customFormat="false" ht="15" hidden="false" customHeight="false" outlineLevel="0" collapsed="false">
      <c r="A49" s="4" t="s">
        <v>167</v>
      </c>
      <c r="B49" s="4" t="s">
        <v>168</v>
      </c>
      <c r="C49" s="4" t="s">
        <v>96</v>
      </c>
      <c r="D49" s="4" t="s">
        <v>44</v>
      </c>
      <c r="E49" s="4" t="s">
        <v>66</v>
      </c>
      <c r="F49" s="4" t="n">
        <v>5</v>
      </c>
      <c r="G49" s="4" t="n">
        <v>185.39</v>
      </c>
      <c r="H49" s="4" t="n">
        <v>118.41</v>
      </c>
      <c r="I49" s="4" t="n">
        <v>26304</v>
      </c>
      <c r="J49" s="5" t="n">
        <v>116843.16</v>
      </c>
      <c r="K49" s="8" t="n">
        <f aca="false">100*(I49-G49)/I49</f>
        <v>99.2952022506083</v>
      </c>
      <c r="L49" s="5" t="n">
        <f aca="false">IF(F49&gt;0,(I49-G49)/F49,"")</f>
        <v>5223.722</v>
      </c>
      <c r="M49" s="7" t="n">
        <f aca="false">IF(F49&gt;0,H49/F49,"")</f>
        <v>23.682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3" t="s">
        <v>169</v>
      </c>
    </row>
    <row r="3" customFormat="false" ht="15" hidden="false" customHeight="false" outlineLevel="0" collapsed="false">
      <c r="A3" s="9" t="s">
        <v>170</v>
      </c>
      <c r="B3" s="9" t="s">
        <v>31</v>
      </c>
      <c r="C3" s="9" t="s">
        <v>32</v>
      </c>
      <c r="D3" s="9" t="s">
        <v>171</v>
      </c>
      <c r="E3" s="12" t="s">
        <v>172</v>
      </c>
    </row>
    <row r="4" customFormat="false" ht="15" hidden="false" customHeight="false" outlineLevel="0" collapsed="false">
      <c r="A4" s="4" t="n">
        <v>2008</v>
      </c>
      <c r="B4" s="5" t="n">
        <v>11097584.4622215</v>
      </c>
      <c r="C4" s="5" t="n">
        <v>9077240.57808764</v>
      </c>
      <c r="D4" s="5" t="n">
        <v>147866.7659014</v>
      </c>
      <c r="E4" s="7" t="n">
        <f aca="false">100*D4/(D4+B4)</f>
        <v>1.31490291409215</v>
      </c>
    </row>
    <row r="5" customFormat="false" ht="15" hidden="false" customHeight="false" outlineLevel="0" collapsed="false">
      <c r="A5" s="4" t="n">
        <v>2009</v>
      </c>
      <c r="B5" s="5" t="n">
        <v>16884315.8971124</v>
      </c>
      <c r="C5" s="5" t="n">
        <v>13277691.9771869</v>
      </c>
      <c r="D5" s="5" t="n">
        <v>1459888.4248894</v>
      </c>
      <c r="E5" s="7" t="n">
        <f aca="false">100*D5/(D5+B5)</f>
        <v>7.95830878932388</v>
      </c>
    </row>
    <row r="6" customFormat="false" ht="15" hidden="false" customHeight="false" outlineLevel="0" collapsed="false">
      <c r="A6" s="4" t="n">
        <v>2010</v>
      </c>
      <c r="B6" s="5" t="n">
        <v>10629165.9580155</v>
      </c>
      <c r="C6" s="5" t="n">
        <v>8614963.63658801</v>
      </c>
      <c r="D6" s="5" t="n">
        <v>11872612.5231918</v>
      </c>
      <c r="E6" s="7" t="n">
        <f aca="false">100*D6/(D6+B6)</f>
        <v>52.7629961920894</v>
      </c>
    </row>
    <row r="7" customFormat="false" ht="15" hidden="false" customHeight="false" outlineLevel="0" collapsed="false">
      <c r="A7" s="4" t="n">
        <v>2011</v>
      </c>
      <c r="B7" s="5" t="n">
        <v>5333541.252574</v>
      </c>
      <c r="C7" s="5" t="n">
        <v>4602218.6023735</v>
      </c>
      <c r="D7" s="5" t="n">
        <v>13778711.1395468</v>
      </c>
      <c r="E7" s="7" t="n">
        <f aca="false">100*D7/(D7+B7)</f>
        <v>72.0936018259533</v>
      </c>
    </row>
    <row r="8" customFormat="false" ht="15" hidden="false" customHeight="false" outlineLevel="0" collapsed="false">
      <c r="A8" s="4" t="n">
        <v>2012</v>
      </c>
      <c r="B8" s="5" t="n">
        <v>3611648.7164973</v>
      </c>
      <c r="C8" s="5" t="n">
        <v>3185691.16353951</v>
      </c>
      <c r="D8" s="5" t="n">
        <v>13268993.4283903</v>
      </c>
      <c r="E8" s="7" t="n">
        <f aca="false">100*D8/(D8+B8)</f>
        <v>78.6047907093919</v>
      </c>
    </row>
    <row r="9" customFormat="false" ht="15" hidden="false" customHeight="false" outlineLevel="0" collapsed="false">
      <c r="A9" s="4" t="n">
        <v>2013</v>
      </c>
      <c r="B9" s="5" t="n">
        <v>3509792.7913193</v>
      </c>
      <c r="C9" s="5" t="n">
        <v>3093136.05464917</v>
      </c>
      <c r="D9" s="5" t="n">
        <v>16204851.3095999</v>
      </c>
      <c r="E9" s="7" t="n">
        <f aca="false">100*D9/(D9+B9)</f>
        <v>82.1970268732589</v>
      </c>
    </row>
    <row r="10" customFormat="false" ht="15" hidden="false" customHeight="false" outlineLevel="0" collapsed="false">
      <c r="A10" s="4" t="n">
        <v>2014</v>
      </c>
      <c r="B10" s="5" t="n">
        <v>4674004.9216769</v>
      </c>
      <c r="C10" s="5" t="n">
        <v>3947896.51323033</v>
      </c>
      <c r="D10" s="5" t="n">
        <v>17083570.0333252</v>
      </c>
      <c r="E10" s="7" t="n">
        <f aca="false">100*D10/(D10+B10)</f>
        <v>78.5178038851139</v>
      </c>
    </row>
    <row r="11" customFormat="false" ht="15" hidden="false" customHeight="false" outlineLevel="0" collapsed="false">
      <c r="A11" s="4" t="n">
        <v>2015</v>
      </c>
      <c r="B11" s="5" t="n">
        <v>5420237.8550786</v>
      </c>
      <c r="C11" s="5" t="n">
        <v>4535249.52158792</v>
      </c>
      <c r="D11" s="5" t="n">
        <v>12641422.7924866</v>
      </c>
      <c r="E11" s="7" t="n">
        <f aca="false">100*D11/(D11+B11)</f>
        <v>69.9903682122979</v>
      </c>
    </row>
    <row r="12" customFormat="false" ht="15" hidden="false" customHeight="false" outlineLevel="0" collapsed="false">
      <c r="A12" s="4" t="n">
        <v>2016</v>
      </c>
      <c r="B12" s="5" t="n">
        <v>1971038.1370886</v>
      </c>
      <c r="C12" s="5" t="n">
        <v>1768176.28684736</v>
      </c>
      <c r="D12" s="5" t="n">
        <v>9893030.8742821</v>
      </c>
      <c r="E12" s="7" t="n">
        <f aca="false">100*D12/(D12+B12)</f>
        <v>83.3864913024399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3" t="s">
        <v>173</v>
      </c>
    </row>
    <row r="3" customFormat="false" ht="15" hidden="false" customHeight="false" outlineLevel="0" collapsed="false">
      <c r="A3" s="9" t="s">
        <v>30</v>
      </c>
      <c r="B3" s="9" t="s">
        <v>31</v>
      </c>
      <c r="C3" s="9" t="s">
        <v>32</v>
      </c>
      <c r="D3" s="9" t="s">
        <v>171</v>
      </c>
      <c r="E3" s="9" t="s">
        <v>174</v>
      </c>
      <c r="F3" s="12" t="s">
        <v>175</v>
      </c>
      <c r="G3" s="12" t="s">
        <v>176</v>
      </c>
    </row>
    <row r="4" customFormat="false" ht="15" hidden="false" customHeight="false" outlineLevel="0" collapsed="false">
      <c r="A4" s="11" t="n">
        <v>45658</v>
      </c>
      <c r="B4" s="5" t="n">
        <v>56034961</v>
      </c>
      <c r="C4" s="5" t="n">
        <v>58090056</v>
      </c>
      <c r="D4" s="5" t="n">
        <v>32822461</v>
      </c>
      <c r="E4" s="4" t="n">
        <v>47</v>
      </c>
      <c r="F4" s="16" t="n">
        <f aca="false">D4/B4</f>
        <v>0.585749689376959</v>
      </c>
      <c r="G4" s="16" t="n">
        <f aca="false">C4/B4</f>
        <v>1.03667522852385</v>
      </c>
    </row>
    <row r="5" customFormat="false" ht="15" hidden="false" customHeight="false" outlineLevel="0" collapsed="false">
      <c r="A5" s="11" t="n">
        <v>45689</v>
      </c>
      <c r="B5" s="5" t="n">
        <v>49673730</v>
      </c>
      <c r="C5" s="5" t="n">
        <v>52394411</v>
      </c>
      <c r="D5" s="5" t="n">
        <v>30629985</v>
      </c>
      <c r="E5" s="4" t="n">
        <v>47</v>
      </c>
      <c r="F5" s="16" t="n">
        <f aca="false">D5/B5</f>
        <v>0.616623414428512</v>
      </c>
      <c r="G5" s="16" t="n">
        <f aca="false">C5/B5</f>
        <v>1.05477102283239</v>
      </c>
    </row>
    <row r="6" customFormat="false" ht="15" hidden="false" customHeight="false" outlineLevel="0" collapsed="false">
      <c r="A6" s="11" t="n">
        <v>45717</v>
      </c>
      <c r="B6" s="5" t="n">
        <v>56155887</v>
      </c>
      <c r="C6" s="5" t="n">
        <v>60550399</v>
      </c>
      <c r="D6" s="5" t="n">
        <v>34408007</v>
      </c>
      <c r="E6" s="4" t="n">
        <v>47</v>
      </c>
      <c r="F6" s="16" t="n">
        <f aca="false">D6/B6</f>
        <v>0.612723061430763</v>
      </c>
      <c r="G6" s="16" t="n">
        <f aca="false">C6/B6</f>
        <v>1.07825558876846</v>
      </c>
    </row>
    <row r="7" customFormat="false" ht="15" hidden="false" customHeight="false" outlineLevel="0" collapsed="false">
      <c r="A7" s="11" t="n">
        <v>45748</v>
      </c>
      <c r="B7" s="5" t="n">
        <v>54903761</v>
      </c>
      <c r="C7" s="5" t="n">
        <v>58559171</v>
      </c>
      <c r="D7" s="5" t="n">
        <v>31204625</v>
      </c>
      <c r="E7" s="4" t="n">
        <v>46</v>
      </c>
      <c r="F7" s="16" t="n">
        <f aca="false">D7/B7</f>
        <v>0.568351319320365</v>
      </c>
      <c r="G7" s="16" t="n">
        <f aca="false">C7/B7</f>
        <v>1.06657849905765</v>
      </c>
    </row>
    <row r="8" customFormat="false" ht="15" hidden="false" customHeight="false" outlineLevel="0" collapsed="false">
      <c r="A8" s="11" t="n">
        <v>45778</v>
      </c>
      <c r="B8" s="5" t="n">
        <v>57137177</v>
      </c>
      <c r="C8" s="5" t="n">
        <v>61281528</v>
      </c>
      <c r="D8" s="5" t="n">
        <v>32561877</v>
      </c>
      <c r="E8" s="4" t="n">
        <v>46</v>
      </c>
      <c r="F8" s="16" t="n">
        <f aca="false">D8/B8</f>
        <v>0.56988949594062</v>
      </c>
      <c r="G8" s="16" t="n">
        <f aca="false">C8/B8</f>
        <v>1.07253335249657</v>
      </c>
    </row>
    <row r="9" customFormat="false" ht="15" hidden="false" customHeight="false" outlineLevel="0" collapsed="false">
      <c r="A9" s="11" t="n">
        <v>45809</v>
      </c>
      <c r="B9" s="5" t="n">
        <v>58469587</v>
      </c>
      <c r="C9" s="5" t="n">
        <v>62339306</v>
      </c>
      <c r="D9" s="5" t="n">
        <v>34784264</v>
      </c>
      <c r="E9" s="4" t="n">
        <v>46</v>
      </c>
      <c r="F9" s="16" t="n">
        <f aca="false">D9/B9</f>
        <v>0.594912086517731</v>
      </c>
      <c r="G9" s="16" t="n">
        <f aca="false">C9/B9</f>
        <v>1.06618345020976</v>
      </c>
    </row>
    <row r="10" customFormat="false" ht="15" hidden="false" customHeight="false" outlineLevel="0" collapsed="false">
      <c r="A10" s="11" t="n">
        <v>45839</v>
      </c>
      <c r="B10" s="5" t="n">
        <v>59986591</v>
      </c>
      <c r="C10" s="5" t="n">
        <v>65722676</v>
      </c>
      <c r="D10" s="5" t="n">
        <v>33682184</v>
      </c>
      <c r="E10" s="4" t="n">
        <v>46</v>
      </c>
      <c r="F10" s="16" t="n">
        <f aca="false">D10/B10</f>
        <v>0.561495218156338</v>
      </c>
      <c r="G10" s="16" t="n">
        <f aca="false">C10/B10</f>
        <v>1.0956227867658</v>
      </c>
    </row>
    <row r="11" customFormat="false" ht="15" hidden="false" customHeight="false" outlineLevel="0" collapsed="false">
      <c r="A11" s="11" t="n">
        <v>45870</v>
      </c>
      <c r="B11" s="5" t="n">
        <v>62996525</v>
      </c>
      <c r="C11" s="5" t="n">
        <v>67957109</v>
      </c>
      <c r="D11" s="5" t="n">
        <v>35333713</v>
      </c>
      <c r="E11" s="4" t="n">
        <v>44</v>
      </c>
      <c r="F11" s="16" t="n">
        <f aca="false">D11/B11</f>
        <v>0.560883524924589</v>
      </c>
      <c r="G11" s="16" t="n">
        <f aca="false">C11/B11</f>
        <v>1.0787437719779</v>
      </c>
    </row>
    <row r="12" customFormat="false" ht="15" hidden="false" customHeight="false" outlineLevel="0" collapsed="false">
      <c r="A12" s="11" t="n">
        <v>45901</v>
      </c>
      <c r="B12" s="5" t="n">
        <v>61931894</v>
      </c>
      <c r="C12" s="5" t="n">
        <v>65699914</v>
      </c>
      <c r="D12" s="5" t="n">
        <v>35378355</v>
      </c>
      <c r="E12" s="4" t="n">
        <v>44</v>
      </c>
      <c r="F12" s="16" t="n">
        <f aca="false">D12/B12</f>
        <v>0.571246133696476</v>
      </c>
      <c r="G12" s="16" t="n">
        <f aca="false">C12/B12</f>
        <v>1.06084134937</v>
      </c>
    </row>
    <row r="13" customFormat="false" ht="15" hidden="false" customHeight="false" outlineLevel="0" collapsed="false">
      <c r="A13" s="11" t="n">
        <v>45931</v>
      </c>
      <c r="B13" s="5" t="n">
        <v>66501289</v>
      </c>
      <c r="C13" s="5" t="n">
        <v>70337281</v>
      </c>
      <c r="D13" s="5" t="n">
        <v>36845224</v>
      </c>
      <c r="E13" s="4" t="n">
        <v>43</v>
      </c>
      <c r="F13" s="16" t="n">
        <f aca="false">D13/B13</f>
        <v>0.554052779337856</v>
      </c>
      <c r="G13" s="16" t="n">
        <f aca="false">C13/B13</f>
        <v>1.05768297213006</v>
      </c>
    </row>
    <row r="14" customFormat="false" ht="15" hidden="false" customHeight="false" outlineLevel="0" collapsed="false">
      <c r="A14" s="11" t="n">
        <v>45962</v>
      </c>
      <c r="B14" s="5" t="n">
        <v>62095590</v>
      </c>
      <c r="C14" s="5" t="n">
        <v>65830080</v>
      </c>
      <c r="D14" s="5" t="n">
        <v>34001719</v>
      </c>
      <c r="E14" s="4" t="n">
        <v>43</v>
      </c>
      <c r="F14" s="16" t="n">
        <f aca="false">D14/B14</f>
        <v>0.54757059237218</v>
      </c>
      <c r="G14" s="16" t="n">
        <f aca="false">C14/B14</f>
        <v>1.06014098585745</v>
      </c>
    </row>
    <row r="15" customFormat="false" ht="15" hidden="false" customHeight="false" outlineLevel="0" collapsed="false">
      <c r="A15" s="11" t="n">
        <v>45992</v>
      </c>
      <c r="B15" s="5" t="n">
        <v>65078743</v>
      </c>
      <c r="C15" s="5" t="n">
        <v>69976474</v>
      </c>
      <c r="D15" s="5" t="n">
        <v>35983223</v>
      </c>
      <c r="E15" s="4" t="n">
        <v>43</v>
      </c>
      <c r="F15" s="16" t="n">
        <f aca="false">D15/B15</f>
        <v>0.552918224004419</v>
      </c>
      <c r="G15" s="16" t="n">
        <f aca="false">C15/B15</f>
        <v>1.07525853718471</v>
      </c>
    </row>
    <row r="16" customFormat="false" ht="15" hidden="false" customHeight="false" outlineLevel="0" collapsed="false">
      <c r="A16" s="11" t="n">
        <v>46023</v>
      </c>
      <c r="B16" s="5" t="n">
        <v>64971130</v>
      </c>
      <c r="C16" s="5" t="n">
        <v>69341977</v>
      </c>
      <c r="D16" s="5" t="n">
        <v>36910252</v>
      </c>
      <c r="E16" s="4" t="n">
        <v>43</v>
      </c>
      <c r="F16" s="16" t="n">
        <f aca="false">D16/B16</f>
        <v>0.568102355615487</v>
      </c>
      <c r="G16" s="16" t="n">
        <f aca="false">C16/B16</f>
        <v>1.06727367986366</v>
      </c>
    </row>
    <row r="17" customFormat="false" ht="15" hidden="false" customHeight="false" outlineLevel="0" collapsed="false">
      <c r="A17" s="11" t="n">
        <v>46054</v>
      </c>
      <c r="B17" s="5" t="n">
        <v>56956960</v>
      </c>
      <c r="C17" s="5" t="n">
        <v>60786988</v>
      </c>
      <c r="D17" s="5" t="n">
        <v>34002303</v>
      </c>
      <c r="E17" s="4" t="n">
        <v>43</v>
      </c>
      <c r="F17" s="16" t="n">
        <f aca="false">D17/B17</f>
        <v>0.5969824056621</v>
      </c>
      <c r="G17" s="16" t="n">
        <f aca="false">C17/B17</f>
        <v>1.06724424899082</v>
      </c>
    </row>
    <row r="18" customFormat="false" ht="15" hidden="false" customHeight="false" outlineLevel="0" collapsed="false">
      <c r="A18" s="11" t="n">
        <v>46082</v>
      </c>
      <c r="B18" s="5" t="n">
        <v>62994915</v>
      </c>
      <c r="C18" s="5" t="n">
        <v>67624590</v>
      </c>
      <c r="D18" s="5" t="n">
        <v>36329221</v>
      </c>
      <c r="E18" s="4" t="n">
        <v>43</v>
      </c>
      <c r="F18" s="16" t="n">
        <f aca="false">D18/B18</f>
        <v>0.576700849584447</v>
      </c>
      <c r="G18" s="16" t="n">
        <f aca="false">C18/B18</f>
        <v>1.07349283668372</v>
      </c>
    </row>
    <row r="19" customFormat="false" ht="15" hidden="false" customHeight="false" outlineLevel="0" collapsed="false">
      <c r="A19" s="11" t="n">
        <v>46113</v>
      </c>
      <c r="B19" s="5" t="n">
        <v>63955183</v>
      </c>
      <c r="C19" s="5" t="n">
        <v>67772745</v>
      </c>
      <c r="D19" s="5" t="n">
        <v>36340066</v>
      </c>
      <c r="E19" s="4" t="n">
        <v>42</v>
      </c>
      <c r="F19" s="16" t="n">
        <f aca="false">D19/B19</f>
        <v>0.568211430182289</v>
      </c>
      <c r="G19" s="16" t="n">
        <f aca="false">C19/B19</f>
        <v>1.05969120594964</v>
      </c>
    </row>
    <row r="20" customFormat="false" ht="15" hidden="false" customHeight="false" outlineLevel="0" collapsed="false">
      <c r="A20" s="11" t="n">
        <v>46143</v>
      </c>
      <c r="B20" s="5" t="n">
        <v>59380671</v>
      </c>
      <c r="C20" s="5" t="n">
        <v>60611083</v>
      </c>
      <c r="D20" s="5" t="n">
        <v>33692840</v>
      </c>
      <c r="E20" s="4" t="n">
        <v>41</v>
      </c>
      <c r="F20" s="16" t="n">
        <f aca="false">D20/B20</f>
        <v>0.56740416422711</v>
      </c>
      <c r="G20" s="16" t="n">
        <f aca="false">C20/B20</f>
        <v>1.02072074934957</v>
      </c>
    </row>
    <row r="21" customFormat="false" ht="15" hidden="false" customHeight="false" outlineLevel="0" collapsed="false">
      <c r="A21" s="11" t="n">
        <v>46174</v>
      </c>
      <c r="B21" s="5" t="n">
        <v>57419970</v>
      </c>
      <c r="C21" s="5" t="n">
        <v>59456793</v>
      </c>
      <c r="D21" s="5" t="n">
        <v>32601816</v>
      </c>
      <c r="E21" s="4" t="n">
        <v>40</v>
      </c>
      <c r="F21" s="16" t="n">
        <f aca="false">D21/B21</f>
        <v>0.56777835307124</v>
      </c>
      <c r="G21" s="16" t="n">
        <f aca="false">C21/B21</f>
        <v>1.03547238007961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2026-09-24T18:35:27Z</dcterms:created>
  <dc:creator>openpyxl</dc:creator>
  <dc:description/>
  <dc:language>en-US</dc:language>
  <cp:lastModifiedBy/>
  <dcterms:modified xsi:type="dcterms:W3CDTF">2026-09-24T18:35:27Z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